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Cash 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0.00x"/>
    <numFmt numFmtId="167" formatCode="0.000"/>
    <numFmt numFmtId="168" formatCode="0.0000"/>
    <numFmt numFmtId="169" formatCode="#,##0.0 BBL/m"/>
  </numFmts>
  <fonts count="9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B365D"/>
      <sz val="14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6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10" fontId="8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169" fontId="8" fillId="0" borderId="0" applyAlignment="1" pivotButton="0" quotePrefix="0" xfId="0">
      <alignment horizontal="right"/>
    </xf>
    <xf numFmtId="0" fontId="6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4" fontId="8" fillId="0" borderId="0" pivotButton="0" quotePrefix="0" xfId="0"/>
    <xf numFmtId="0" fontId="0" fillId="4" borderId="0" applyAlignment="1" pivotButton="0" quotePrefix="0" xfId="0">
      <alignment horizontal="center"/>
    </xf>
    <xf numFmtId="3" fontId="0" fillId="4" borderId="0" pivotButton="0" quotePrefix="0" xfId="0"/>
    <xf numFmtId="164" fontId="0" fillId="4" borderId="0" pivotButton="0" quotePrefix="0" xfId="0"/>
    <xf numFmtId="164" fontId="8" fillId="4" borderId="0" pivotButton="0" quotePrefix="0" xfId="0"/>
    <xf numFmtId="0" fontId="6" fillId="3" borderId="1" applyAlignment="1" pivotButton="0" quotePrefix="0" xfId="0">
      <alignment horizontal="center"/>
    </xf>
    <xf numFmtId="0" fontId="0" fillId="3" borderId="1" pivotButton="0" quotePrefix="0" xfId="0"/>
    <xf numFmtId="3" fontId="6" fillId="3" borderId="1" pivotButton="0" quotePrefix="0" xfId="0"/>
    <xf numFmtId="164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22" customWidth="1" min="2" max="2"/>
    <col width="23" customWidth="1" min="3" max="3"/>
    <col width="26" customWidth="1" min="4" max="4"/>
    <col width="22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VALUATION &amp; SUBSURFACE AUDIT MEMORANDUM</t>
        </is>
      </c>
    </row>
    <row r="2">
      <c r="A2" s="2" t="inlineStr">
        <is>
          <t>Asset Target: Volve Field — Wellbore 15/9-F-1 C | Class: Proved Developed Producing (PDP)</t>
        </is>
      </c>
    </row>
    <row r="3"/>
    <row r="4">
      <c r="A4" s="3" t="inlineStr">
        <is>
          <t>POST-TAX NPV10</t>
        </is>
      </c>
      <c r="C4" s="3" t="inlineStr">
        <is>
          <t>UNLEVERED IRR</t>
        </is>
      </c>
      <c r="E4" s="3" t="inlineStr">
        <is>
          <t>MOIC</t>
        </is>
      </c>
      <c r="G4" s="3" t="inlineStr">
        <is>
          <t>ECONOMIC LIFE</t>
        </is>
      </c>
    </row>
    <row r="5">
      <c r="A5" s="4" t="n">
        <v>-4095127.002440086</v>
      </c>
      <c r="C5" s="5" t="n">
        <v>0</v>
      </c>
      <c r="E5" s="6" t="n">
        <v>0.4703522032914302</v>
      </c>
      <c r="G5" s="7" t="inlineStr">
        <is>
          <t>62 Months</t>
        </is>
      </c>
    </row>
    <row r="6"/>
    <row r="7"/>
    <row r="8">
      <c r="A8" s="8" t="inlineStr">
        <is>
          <t>1. Subsurface DCA Parameters (Arps Engine)</t>
        </is>
      </c>
    </row>
    <row r="9">
      <c r="A9" s="9" t="inlineStr">
        <is>
          <t>Parameter Description</t>
        </is>
      </c>
      <c r="B9" s="9" t="inlineStr">
        <is>
          <t>Symbol</t>
        </is>
      </c>
      <c r="C9" s="9" t="inlineStr">
        <is>
          <t>Fitted Value</t>
        </is>
      </c>
      <c r="D9" s="9" t="inlineStr">
        <is>
          <t>Unit / Metric</t>
        </is>
      </c>
    </row>
    <row r="10">
      <c r="A10" s="10" t="inlineStr">
        <is>
          <t>Initial Oil Production Rate</t>
        </is>
      </c>
      <c r="B10" s="11" t="inlineStr">
        <is>
          <t>q_i</t>
        </is>
      </c>
      <c r="C10" s="12" t="n">
        <v>21859.59454841402</v>
      </c>
      <c r="D10" s="10" t="inlineStr">
        <is>
          <t>BBL / Month</t>
        </is>
      </c>
    </row>
    <row r="11">
      <c r="A11" s="10" t="inlineStr">
        <is>
          <t>Initial Monthly Decline Rate</t>
        </is>
      </c>
      <c r="B11" s="11" t="inlineStr">
        <is>
          <t>D_i</t>
        </is>
      </c>
      <c r="C11" s="13" t="n">
        <v>0.1364901306036601</v>
      </c>
      <c r="D11" s="10" t="inlineStr">
        <is>
          <t>% / Month</t>
        </is>
      </c>
    </row>
    <row r="12">
      <c r="A12" s="10" t="inlineStr">
        <is>
          <t>Arps Hyperbolic Exponent</t>
        </is>
      </c>
      <c r="B12" s="11" t="inlineStr">
        <is>
          <t>b</t>
        </is>
      </c>
      <c r="C12" s="14" t="n">
        <v>0.3405191692401029</v>
      </c>
      <c r="D12" s="10" t="inlineStr">
        <is>
          <t>Dimensionless</t>
        </is>
      </c>
    </row>
    <row r="13">
      <c r="A13" s="10" t="inlineStr">
        <is>
          <t>Goodness of Fit (R-Squared)</t>
        </is>
      </c>
      <c r="B13" s="11" t="inlineStr">
        <is>
          <t>R²</t>
        </is>
      </c>
      <c r="C13" s="15" t="n">
        <v>0.6384883137238279</v>
      </c>
      <c r="D13" s="10" t="inlineStr">
        <is>
          <t>Statistical Correlation</t>
        </is>
      </c>
    </row>
    <row r="14">
      <c r="A14" s="10" t="inlineStr">
        <is>
          <t>Root Mean Square Error</t>
        </is>
      </c>
      <c r="B14" s="11" t="inlineStr">
        <is>
          <t>RMSE</t>
        </is>
      </c>
      <c r="C14" s="12" t="n">
        <v>3511.862246343226</v>
      </c>
      <c r="D14" s="10" t="inlineStr">
        <is>
          <t>BBL / Month</t>
        </is>
      </c>
    </row>
    <row r="15"/>
    <row r="16"/>
    <row r="17">
      <c r="A17" s="8" t="inlineStr">
        <is>
          <t>2. Financial &amp; Underwriting Metrics</t>
        </is>
      </c>
    </row>
    <row r="18">
      <c r="A18" s="9" t="inlineStr">
        <is>
          <t>Metric</t>
        </is>
      </c>
      <c r="B18" s="9" t="inlineStr">
        <is>
          <t>Value</t>
        </is>
      </c>
      <c r="C18" s="9" t="inlineStr">
        <is>
          <t>Benchmark Target</t>
        </is>
      </c>
    </row>
    <row r="19">
      <c r="A19" s="10" t="inlineStr">
        <is>
          <t>Post-Tax NPV10</t>
        </is>
      </c>
      <c r="B19" s="16" t="n">
        <v>-4095127.002440086</v>
      </c>
      <c r="C19" s="10" t="inlineStr">
        <is>
          <t>Primary Asset Base</t>
        </is>
      </c>
    </row>
    <row r="20">
      <c r="A20" s="10" t="inlineStr">
        <is>
          <t>10-Year Gross Revenues</t>
        </is>
      </c>
      <c r="B20" s="16" t="n">
        <v>16712076.35779458</v>
      </c>
      <c r="C20" s="10" t="inlineStr">
        <is>
          <t>Hydrocarbon Sales</t>
        </is>
      </c>
    </row>
    <row r="21">
      <c r="A21" s="10" t="inlineStr">
        <is>
          <t>10-Year Operating Expenses</t>
        </is>
      </c>
      <c r="B21" s="16" t="n">
        <v>4852675.758368788</v>
      </c>
      <c r="C21" s="10" t="inlineStr">
        <is>
          <t>LOE + Water Handling</t>
        </is>
      </c>
    </row>
    <row r="22">
      <c r="A22" s="10" t="inlineStr">
        <is>
          <t>10-Year Undiscounted NCF</t>
        </is>
      </c>
      <c r="B22" s="16" t="n">
        <v>-4890600.61708972</v>
      </c>
      <c r="C22" s="10" t="inlineStr">
        <is>
          <t>Cumulative Cash Flow</t>
        </is>
      </c>
    </row>
    <row r="23">
      <c r="A23" s="10" t="inlineStr">
        <is>
          <t>Economic Cutoff Threshold</t>
        </is>
      </c>
      <c r="B23" s="17" t="n">
        <v>400.4805766920305</v>
      </c>
      <c r="C23" s="10" t="inlineStr">
        <is>
          <t>Operating Breakeven</t>
        </is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1" customWidth="1" min="4" max="4"/>
    <col width="21" customWidth="1" min="5" max="5"/>
    <col width="21" customWidth="1" min="6" max="6"/>
    <col width="16" customWidth="1" min="7" max="7"/>
    <col width="21" customWidth="1" min="8" max="8"/>
    <col width="21" customWidth="1" min="9" max="9"/>
    <col width="17" customWidth="1" min="10" max="10"/>
    <col width="18" customWidth="1" min="11" max="11"/>
    <col width="16" customWidth="1" min="12" max="12"/>
    <col width="16" customWidth="1" min="13" max="13"/>
    <col width="21" customWidth="1" min="14" max="14"/>
    <col width="20" customWidth="1" min="15" max="15"/>
    <col width="29" customWidth="1" min="16" max="16"/>
  </cols>
  <sheetData>
    <row r="1" ht="28" customHeight="1">
      <c r="A1" s="18" t="inlineStr">
        <is>
          <t>Month (t)</t>
        </is>
      </c>
      <c r="B1" s="18" t="inlineStr">
        <is>
          <t>Period</t>
        </is>
      </c>
      <c r="C1" s="18" t="inlineStr">
        <is>
          <t>Oil Vol (BBL)</t>
        </is>
      </c>
      <c r="D1" s="18" t="inlineStr">
        <is>
          <t>Gas Vol (MCF)</t>
        </is>
      </c>
      <c r="E1" s="18" t="inlineStr">
        <is>
          <t>Water Vol (BBL)</t>
        </is>
      </c>
      <c r="F1" s="18" t="inlineStr">
        <is>
          <t>Gross Rev ($)</t>
        </is>
      </c>
      <c r="G1" s="18" t="inlineStr">
        <is>
          <t>Net Rev ($)</t>
        </is>
      </c>
      <c r="H1" s="18" t="inlineStr">
        <is>
          <t>Var OPEX ($)</t>
        </is>
      </c>
      <c r="I1" s="18" t="inlineStr">
        <is>
          <t>Water OPEX ($)</t>
        </is>
      </c>
      <c r="J1" s="18" t="inlineStr">
        <is>
          <t>Fixed OPEX ($)</t>
        </is>
      </c>
      <c r="K1" s="18" t="inlineStr">
        <is>
          <t>Total OPEX ($)</t>
        </is>
      </c>
      <c r="L1" s="18" t="inlineStr">
        <is>
          <t>EBITDA ($)</t>
        </is>
      </c>
      <c r="M1" s="18" t="inlineStr">
        <is>
          <t>ABEX ($)</t>
        </is>
      </c>
      <c r="N1" s="18" t="inlineStr">
        <is>
          <t>Tax Paid ($)</t>
        </is>
      </c>
      <c r="O1" s="18" t="inlineStr">
        <is>
          <t>Net Cash Flow ($)</t>
        </is>
      </c>
      <c r="P1" s="18" t="inlineStr">
        <is>
          <t>Discounted NCF ($)</t>
        </is>
      </c>
    </row>
    <row r="2">
      <c r="A2" s="11" t="n">
        <v>1</v>
      </c>
      <c r="B2" s="11" t="inlineStr">
        <is>
          <t>Month 1</t>
        </is>
      </c>
      <c r="C2" s="19" t="n">
        <v>19129.40515068759</v>
      </c>
      <c r="D2" s="19" t="n">
        <v>15303.52412055007</v>
      </c>
      <c r="E2" s="19" t="n">
        <v>28694.10772603138</v>
      </c>
      <c r="F2" s="20" t="n">
        <v>1488267.720723494</v>
      </c>
      <c r="G2" s="20">
        <f>F2</f>
        <v/>
      </c>
      <c r="H2" s="20" t="n">
        <v>258246.9695342824</v>
      </c>
      <c r="I2" s="20" t="n">
        <v>35867.63465753923</v>
      </c>
      <c r="J2" s="20" t="n">
        <v>25000</v>
      </c>
      <c r="K2" s="20">
        <f>SUM(H2:J2)</f>
        <v/>
      </c>
      <c r="L2" s="20">
        <f>G2-K2</f>
        <v/>
      </c>
      <c r="M2" s="20" t="n">
        <v>0</v>
      </c>
      <c r="N2" s="20" t="n">
        <v>911939.4308947049</v>
      </c>
      <c r="O2" s="21">
        <f>L2-M2-N2</f>
        <v/>
      </c>
      <c r="P2" s="20">
        <f>O2/((1+0.10)^(A2/12))</f>
        <v/>
      </c>
    </row>
    <row r="3">
      <c r="A3" s="22" t="n">
        <v>2</v>
      </c>
      <c r="B3" s="22" t="inlineStr">
        <is>
          <t>Month 2</t>
        </is>
      </c>
      <c r="C3" s="23" t="n">
        <v>16837.55662295506</v>
      </c>
      <c r="D3" s="23" t="n">
        <v>13470.04529836405</v>
      </c>
      <c r="E3" s="23" t="n">
        <v>25256.33493443258</v>
      </c>
      <c r="F3" s="24" t="n">
        <v>1309961.905265904</v>
      </c>
      <c r="G3" s="24">
        <f>F3</f>
        <v/>
      </c>
      <c r="H3" s="24" t="n">
        <v>227307.0144098933</v>
      </c>
      <c r="I3" s="24" t="n">
        <v>31570.41866804073</v>
      </c>
      <c r="J3" s="24" t="n">
        <v>25000</v>
      </c>
      <c r="K3" s="24">
        <f>SUM(H3:J3)</f>
        <v/>
      </c>
      <c r="L3" s="24">
        <f>G3-K3</f>
        <v/>
      </c>
      <c r="M3" s="24" t="n">
        <v>0</v>
      </c>
      <c r="N3" s="24" t="n">
        <v>800345.8883066163</v>
      </c>
      <c r="O3" s="25">
        <f>L3-M3-N3</f>
        <v/>
      </c>
      <c r="P3" s="24">
        <f>O3/((1+0.10)^(A3/12))</f>
        <v/>
      </c>
    </row>
    <row r="4">
      <c r="A4" s="11" t="n">
        <v>3</v>
      </c>
      <c r="B4" s="11" t="inlineStr">
        <is>
          <t>Month 3</t>
        </is>
      </c>
      <c r="C4" s="19" t="n">
        <v>14899.27387785822</v>
      </c>
      <c r="D4" s="19" t="n">
        <v>11919.41910228657</v>
      </c>
      <c r="E4" s="19" t="n">
        <v>22348.91081678732</v>
      </c>
      <c r="F4" s="20" t="n">
        <v>1159163.507697369</v>
      </c>
      <c r="G4" s="20">
        <f>F4</f>
        <v/>
      </c>
      <c r="H4" s="20" t="n">
        <v>201140.1973510859</v>
      </c>
      <c r="I4" s="20" t="n">
        <v>27936.13852098415</v>
      </c>
      <c r="J4" s="20" t="n">
        <v>25000</v>
      </c>
      <c r="K4" s="20">
        <f>SUM(H4:J4)</f>
        <v/>
      </c>
      <c r="L4" s="20">
        <f>G4-K4</f>
        <v/>
      </c>
      <c r="M4" s="20" t="n">
        <v>0</v>
      </c>
      <c r="N4" s="20" t="n">
        <v>705967.9940237334</v>
      </c>
      <c r="O4" s="21">
        <f>L4-M4-N4</f>
        <v/>
      </c>
      <c r="P4" s="20">
        <f>O4/((1+0.10)^(A4/12))</f>
        <v/>
      </c>
    </row>
    <row r="5">
      <c r="A5" s="22" t="n">
        <v>4</v>
      </c>
      <c r="B5" s="22" t="inlineStr">
        <is>
          <t>Month 4</t>
        </is>
      </c>
      <c r="C5" s="23" t="n">
        <v>13248.75085325264</v>
      </c>
      <c r="D5" s="23" t="n">
        <v>10599.00068260211</v>
      </c>
      <c r="E5" s="23" t="n">
        <v>19873.12627987896</v>
      </c>
      <c r="F5" s="24" t="n">
        <v>1030752.816383056</v>
      </c>
      <c r="G5" s="24">
        <f>F5</f>
        <v/>
      </c>
      <c r="H5" s="24" t="n">
        <v>178858.1365189107</v>
      </c>
      <c r="I5" s="24" t="n">
        <v>24841.40784984871</v>
      </c>
      <c r="J5" s="24" t="n">
        <v>25000</v>
      </c>
      <c r="K5" s="24">
        <f>SUM(H5:J5)</f>
        <v/>
      </c>
      <c r="L5" s="24">
        <f>G5-K5</f>
        <v/>
      </c>
      <c r="M5" s="24" t="n">
        <v>0</v>
      </c>
      <c r="N5" s="24" t="n">
        <v>625601.552171151</v>
      </c>
      <c r="O5" s="25">
        <f>L5-M5-N5</f>
        <v/>
      </c>
      <c r="P5" s="24">
        <f>O5/((1+0.10)^(A5/12))</f>
        <v/>
      </c>
    </row>
    <row r="6">
      <c r="A6" s="11" t="n">
        <v>5</v>
      </c>
      <c r="B6" s="11" t="inlineStr">
        <is>
          <t>Month 5</t>
        </is>
      </c>
      <c r="C6" s="19" t="n">
        <v>11834.37224801012</v>
      </c>
      <c r="D6" s="19" t="n">
        <v>9467.497798408098</v>
      </c>
      <c r="E6" s="19" t="n">
        <v>17751.55837201518</v>
      </c>
      <c r="F6" s="20" t="n">
        <v>920714.1608951874</v>
      </c>
      <c r="G6" s="20">
        <f>F6</f>
        <v/>
      </c>
      <c r="H6" s="20" t="n">
        <v>159764.0253481366</v>
      </c>
      <c r="I6" s="20" t="n">
        <v>22189.44796501898</v>
      </c>
      <c r="J6" s="20" t="n">
        <v>25000</v>
      </c>
      <c r="K6" s="20">
        <f>SUM(H6:J6)</f>
        <v/>
      </c>
      <c r="L6" s="20">
        <f>G6-K6</f>
        <v/>
      </c>
      <c r="M6" s="20" t="n">
        <v>0</v>
      </c>
      <c r="N6" s="20" t="n">
        <v>556733.3363139848</v>
      </c>
      <c r="O6" s="21">
        <f>L6-M6-N6</f>
        <v/>
      </c>
      <c r="P6" s="20">
        <f>O6/((1+0.10)^(A6/12))</f>
        <v/>
      </c>
    </row>
    <row r="7">
      <c r="A7" s="22" t="n">
        <v>6</v>
      </c>
      <c r="B7" s="22" t="inlineStr">
        <is>
          <t>Month 6</t>
        </is>
      </c>
      <c r="C7" s="23" t="n">
        <v>10615.26389349683</v>
      </c>
      <c r="D7" s="23" t="n">
        <v>8492.211114797467</v>
      </c>
      <c r="E7" s="23" t="n">
        <v>15922.89584024525</v>
      </c>
      <c r="F7" s="24" t="n">
        <v>825867.5309140537</v>
      </c>
      <c r="G7" s="24">
        <f>F7</f>
        <v/>
      </c>
      <c r="H7" s="24" t="n">
        <v>143306.0625622073</v>
      </c>
      <c r="I7" s="24" t="n">
        <v>19903.61980030656</v>
      </c>
      <c r="J7" s="24" t="n">
        <v>25000</v>
      </c>
      <c r="K7" s="24">
        <f>SUM(H7:J7)</f>
        <v/>
      </c>
      <c r="L7" s="24">
        <f>G7-K7</f>
        <v/>
      </c>
      <c r="M7" s="24" t="n">
        <v>0</v>
      </c>
      <c r="N7" s="24" t="n">
        <v>497373.1218702011</v>
      </c>
      <c r="O7" s="25">
        <f>L7-M7-N7</f>
        <v/>
      </c>
      <c r="P7" s="24">
        <f>O7/((1+0.10)^(A7/12))</f>
        <v/>
      </c>
    </row>
    <row r="8">
      <c r="A8" s="11" t="n">
        <v>7</v>
      </c>
      <c r="B8" s="11" t="inlineStr">
        <is>
          <t>Month 7</t>
        </is>
      </c>
      <c r="C8" s="19" t="n">
        <v>9558.76992854484</v>
      </c>
      <c r="D8" s="19" t="n">
        <v>7647.015942835872</v>
      </c>
      <c r="E8" s="19" t="n">
        <v>14338.15489281726</v>
      </c>
      <c r="F8" s="20" t="n">
        <v>743672.3004407886</v>
      </c>
      <c r="G8" s="20">
        <f>F8</f>
        <v/>
      </c>
      <c r="H8" s="20" t="n">
        <v>129043.3940353553</v>
      </c>
      <c r="I8" s="20" t="n">
        <v>17922.69361602157</v>
      </c>
      <c r="J8" s="20" t="n">
        <v>25000</v>
      </c>
      <c r="K8" s="20">
        <f>SUM(H8:J8)</f>
        <v/>
      </c>
      <c r="L8" s="20">
        <f>G8-K8</f>
        <v/>
      </c>
      <c r="M8" s="20" t="n">
        <v>0</v>
      </c>
      <c r="N8" s="20" t="n">
        <v>445930.8459757411</v>
      </c>
      <c r="O8" s="21">
        <f>L8-M8-N8</f>
        <v/>
      </c>
      <c r="P8" s="20">
        <f>O8/((1+0.10)^(A8/12))</f>
        <v/>
      </c>
    </row>
    <row r="9">
      <c r="A9" s="22" t="n">
        <v>8</v>
      </c>
      <c r="B9" s="22" t="inlineStr">
        <is>
          <t>Month 8</t>
        </is>
      </c>
      <c r="C9" s="23" t="n">
        <v>8638.585629029172</v>
      </c>
      <c r="D9" s="23" t="n">
        <v>6910.868503223338</v>
      </c>
      <c r="E9" s="23" t="n">
        <v>12957.87844354376</v>
      </c>
      <c r="F9" s="24" t="n">
        <v>672081.9619384696</v>
      </c>
      <c r="G9" s="24">
        <f>F9</f>
        <v/>
      </c>
      <c r="H9" s="24" t="n">
        <v>116620.9059918938</v>
      </c>
      <c r="I9" s="24" t="n">
        <v>16197.3480544297</v>
      </c>
      <c r="J9" s="24" t="n">
        <v>25000</v>
      </c>
      <c r="K9" s="24">
        <f>SUM(H9:J9)</f>
        <v/>
      </c>
      <c r="L9" s="24">
        <f>G9-K9</f>
        <v/>
      </c>
      <c r="M9" s="24" t="n">
        <v>0</v>
      </c>
      <c r="N9" s="24" t="n">
        <v>401125.6921558739</v>
      </c>
      <c r="O9" s="25">
        <f>L9-M9-N9</f>
        <v/>
      </c>
      <c r="P9" s="24">
        <f>O9/((1+0.10)^(A9/12))</f>
        <v/>
      </c>
    </row>
    <row r="10">
      <c r="A10" s="11" t="n">
        <v>9</v>
      </c>
      <c r="B10" s="11" t="inlineStr">
        <is>
          <t>Month 9</t>
        </is>
      </c>
      <c r="C10" s="19" t="n">
        <v>7833.360138385747</v>
      </c>
      <c r="D10" s="19" t="n">
        <v>6266.688110708597</v>
      </c>
      <c r="E10" s="19" t="n">
        <v>11750.04020757862</v>
      </c>
      <c r="F10" s="20" t="n">
        <v>609435.418766411</v>
      </c>
      <c r="G10" s="20">
        <f>F10</f>
        <v/>
      </c>
      <c r="H10" s="20" t="n">
        <v>105750.3618682076</v>
      </c>
      <c r="I10" s="20" t="n">
        <v>14687.55025947328</v>
      </c>
      <c r="J10" s="20" t="n">
        <v>25000</v>
      </c>
      <c r="K10" s="20">
        <f>SUM(H10:J10)</f>
        <v/>
      </c>
      <c r="L10" s="20">
        <f>G10-K10</f>
        <v/>
      </c>
      <c r="M10" s="20" t="n">
        <v>0</v>
      </c>
      <c r="N10" s="20" t="n">
        <v>361918.0551782096</v>
      </c>
      <c r="O10" s="21">
        <f>L10-M10-N10</f>
        <v/>
      </c>
      <c r="P10" s="20">
        <f>O10/((1+0.10)^(A10/12))</f>
        <v/>
      </c>
    </row>
    <row r="11">
      <c r="A11" s="22" t="n">
        <v>10</v>
      </c>
      <c r="B11" s="22" t="inlineStr">
        <is>
          <t>Month 10</t>
        </is>
      </c>
      <c r="C11" s="23" t="n">
        <v>7125.640053497263</v>
      </c>
      <c r="D11" s="23" t="n">
        <v>5700.512042797811</v>
      </c>
      <c r="E11" s="23" t="n">
        <v>10688.46008024589</v>
      </c>
      <c r="F11" s="24" t="n">
        <v>554374.796162087</v>
      </c>
      <c r="G11" s="24">
        <f>F11</f>
        <v/>
      </c>
      <c r="H11" s="24" t="n">
        <v>96196.14072221305</v>
      </c>
      <c r="I11" s="24" t="n">
        <v>13360.57510030737</v>
      </c>
      <c r="J11" s="24" t="n">
        <v>25000</v>
      </c>
      <c r="K11" s="24">
        <f>SUM(H11:J11)</f>
        <v/>
      </c>
      <c r="L11" s="24">
        <f>G11-K11</f>
        <v/>
      </c>
      <c r="M11" s="24" t="n">
        <v>0</v>
      </c>
      <c r="N11" s="24" t="n">
        <v>327458.1026648619</v>
      </c>
      <c r="O11" s="25">
        <f>L11-M11-N11</f>
        <v/>
      </c>
      <c r="P11" s="24">
        <f>O11/((1+0.10)^(A11/12))</f>
        <v/>
      </c>
    </row>
    <row r="12">
      <c r="A12" s="11" t="n">
        <v>11</v>
      </c>
      <c r="B12" s="11" t="inlineStr">
        <is>
          <t>Month 11</t>
        </is>
      </c>
      <c r="C12" s="19" t="n">
        <v>6501.063044578946</v>
      </c>
      <c r="D12" s="19" t="n">
        <v>5200.850435663157</v>
      </c>
      <c r="E12" s="19" t="n">
        <v>9751.594566868418</v>
      </c>
      <c r="F12" s="20" t="n">
        <v>505782.704868242</v>
      </c>
      <c r="G12" s="20">
        <f>F12</f>
        <v/>
      </c>
      <c r="H12" s="20" t="n">
        <v>87764.35110181577</v>
      </c>
      <c r="I12" s="20" t="n">
        <v>12189.49320858552</v>
      </c>
      <c r="J12" s="20" t="n">
        <v>25000</v>
      </c>
      <c r="K12" s="20">
        <f>SUM(H12:J12)</f>
        <v/>
      </c>
      <c r="L12" s="20">
        <f>G12-K12</f>
        <v/>
      </c>
      <c r="M12" s="20" t="n">
        <v>0</v>
      </c>
      <c r="N12" s="20" t="n">
        <v>297046.5112351158</v>
      </c>
      <c r="O12" s="21">
        <f>L12-M12-N12</f>
        <v/>
      </c>
      <c r="P12" s="20">
        <f>O12/((1+0.10)^(A12/12))</f>
        <v/>
      </c>
    </row>
    <row r="13">
      <c r="A13" s="22" t="n">
        <v>12</v>
      </c>
      <c r="B13" s="22" t="inlineStr">
        <is>
          <t>Month 12</t>
        </is>
      </c>
      <c r="C13" s="23" t="n">
        <v>5947.736812521969</v>
      </c>
      <c r="D13" s="23" t="n">
        <v>4758.189450017576</v>
      </c>
      <c r="E13" s="23" t="n">
        <v>8921.605218782954</v>
      </c>
      <c r="F13" s="24" t="n">
        <v>462733.9240142092</v>
      </c>
      <c r="G13" s="24">
        <f>F13</f>
        <v/>
      </c>
      <c r="H13" s="24" t="n">
        <v>80294.44696904658</v>
      </c>
      <c r="I13" s="24" t="n">
        <v>11152.00652347869</v>
      </c>
      <c r="J13" s="24" t="n">
        <v>25000</v>
      </c>
      <c r="K13" s="24">
        <f>SUM(H13:J13)</f>
        <v/>
      </c>
      <c r="L13" s="24">
        <f>G13-K13</f>
        <v/>
      </c>
      <c r="M13" s="24" t="n">
        <v>0</v>
      </c>
      <c r="N13" s="24" t="n">
        <v>270104.2270069135</v>
      </c>
      <c r="O13" s="25">
        <f>L13-M13-N13</f>
        <v/>
      </c>
      <c r="P13" s="24">
        <f>O13/((1+0.10)^(A13/12))</f>
        <v/>
      </c>
    </row>
    <row r="14">
      <c r="A14" s="11" t="n">
        <v>13</v>
      </c>
      <c r="B14" s="11" t="inlineStr">
        <is>
          <t>Month 13</t>
        </is>
      </c>
      <c r="C14" s="19" t="n">
        <v>5455.756774598656</v>
      </c>
      <c r="D14" s="19" t="n">
        <v>4364.605419678926</v>
      </c>
      <c r="E14" s="19" t="n">
        <v>8183.635161897984</v>
      </c>
      <c r="F14" s="20" t="n">
        <v>424457.8770637755</v>
      </c>
      <c r="G14" s="20">
        <f>F14</f>
        <v/>
      </c>
      <c r="H14" s="20" t="n">
        <v>73652.71645708186</v>
      </c>
      <c r="I14" s="20" t="n">
        <v>10229.54395237248</v>
      </c>
      <c r="J14" s="20" t="n">
        <v>25000</v>
      </c>
      <c r="K14" s="20">
        <f>SUM(H14:J14)</f>
        <v/>
      </c>
      <c r="L14" s="20">
        <f>G14-K14</f>
        <v/>
      </c>
      <c r="M14" s="20" t="n">
        <v>0</v>
      </c>
      <c r="N14" s="20" t="n">
        <v>246148.9809903705</v>
      </c>
      <c r="O14" s="21">
        <f>L14-M14-N14</f>
        <v/>
      </c>
      <c r="P14" s="20">
        <f>O14/((1+0.10)^(A14/12))</f>
        <v/>
      </c>
    </row>
    <row r="15">
      <c r="A15" s="22" t="n">
        <v>14</v>
      </c>
      <c r="B15" s="22" t="inlineStr">
        <is>
          <t>Month 14</t>
        </is>
      </c>
      <c r="C15" s="23" t="n">
        <v>5016.828544163226</v>
      </c>
      <c r="D15" s="23" t="n">
        <v>4013.462835330581</v>
      </c>
      <c r="E15" s="23" t="n">
        <v>7525.24281624484</v>
      </c>
      <c r="F15" s="24" t="n">
        <v>390309.260735899</v>
      </c>
      <c r="G15" s="24">
        <f>F15</f>
        <v/>
      </c>
      <c r="H15" s="24" t="n">
        <v>67727.18534620355</v>
      </c>
      <c r="I15" s="24" t="n">
        <v>9406.55352030605</v>
      </c>
      <c r="J15" s="24" t="n">
        <v>25000</v>
      </c>
      <c r="K15" s="24">
        <f>SUM(H15:J15)</f>
        <v/>
      </c>
      <c r="L15" s="24">
        <f>G15-K15</f>
        <v/>
      </c>
      <c r="M15" s="24" t="n">
        <v>0</v>
      </c>
      <c r="N15" s="24" t="n">
        <v>224776.9070581237</v>
      </c>
      <c r="O15" s="25">
        <f>L15-M15-N15</f>
        <v/>
      </c>
      <c r="P15" s="24">
        <f>O15/((1+0.10)^(A15/12))</f>
        <v/>
      </c>
    </row>
    <row r="16">
      <c r="A16" s="11" t="n">
        <v>15</v>
      </c>
      <c r="B16" s="11" t="inlineStr">
        <is>
          <t>Month 15</t>
        </is>
      </c>
      <c r="C16" s="19" t="n">
        <v>4623.970252589228</v>
      </c>
      <c r="D16" s="19" t="n">
        <v>3699.176202071383</v>
      </c>
      <c r="E16" s="19" t="n">
        <v>6935.955378883842</v>
      </c>
      <c r="F16" s="20" t="n">
        <v>359744.8856514419</v>
      </c>
      <c r="G16" s="20">
        <f>F16</f>
        <v/>
      </c>
      <c r="H16" s="20" t="n">
        <v>62423.59840995457</v>
      </c>
      <c r="I16" s="20" t="n">
        <v>8669.944223604802</v>
      </c>
      <c r="J16" s="20" t="n">
        <v>25000</v>
      </c>
      <c r="K16" s="20">
        <f>SUM(H16:J16)</f>
        <v/>
      </c>
      <c r="L16" s="20">
        <f>G16-K16</f>
        <v/>
      </c>
      <c r="M16" s="20" t="n">
        <v>0</v>
      </c>
      <c r="N16" s="20" t="n">
        <v>205648.0475539484</v>
      </c>
      <c r="O16" s="21">
        <f>L16-M16-N16</f>
        <v/>
      </c>
      <c r="P16" s="20">
        <f>O16/((1+0.10)^(A16/12))</f>
        <v/>
      </c>
    </row>
    <row r="17">
      <c r="A17" s="22" t="n">
        <v>16</v>
      </c>
      <c r="B17" s="22" t="inlineStr">
        <is>
          <t>Month 16</t>
        </is>
      </c>
      <c r="C17" s="23" t="n">
        <v>4271.276195440339</v>
      </c>
      <c r="D17" s="23" t="n">
        <v>3417.020956352271</v>
      </c>
      <c r="E17" s="23" t="n">
        <v>6406.914293160507</v>
      </c>
      <c r="F17" s="24" t="n">
        <v>332305.2880052584</v>
      </c>
      <c r="G17" s="24">
        <f>F17</f>
        <v/>
      </c>
      <c r="H17" s="24" t="n">
        <v>57662.22863844457</v>
      </c>
      <c r="I17" s="24" t="n">
        <v>8008.642866450635</v>
      </c>
      <c r="J17" s="24" t="n">
        <v>25000</v>
      </c>
      <c r="K17" s="24">
        <f>SUM(H17:J17)</f>
        <v/>
      </c>
      <c r="L17" s="24">
        <f>G17-K17</f>
        <v/>
      </c>
      <c r="M17" s="24" t="n">
        <v>0</v>
      </c>
      <c r="N17" s="24" t="n">
        <v>188474.8448702833</v>
      </c>
      <c r="O17" s="25">
        <f>L17-M17-N17</f>
        <v/>
      </c>
      <c r="P17" s="24">
        <f>O17/((1+0.10)^(A17/12))</f>
        <v/>
      </c>
    </row>
    <row r="18">
      <c r="A18" s="11" t="n">
        <v>17</v>
      </c>
      <c r="B18" s="11" t="inlineStr">
        <is>
          <t>Month 17</t>
        </is>
      </c>
      <c r="C18" s="19" t="n">
        <v>3953.727939110689</v>
      </c>
      <c r="D18" s="19" t="n">
        <v>3162.982351288552</v>
      </c>
      <c r="E18" s="19" t="n">
        <v>5930.591908666034</v>
      </c>
      <c r="F18" s="20" t="n">
        <v>307600.0336628116</v>
      </c>
      <c r="G18" s="20">
        <f>F18</f>
        <v/>
      </c>
      <c r="H18" s="20" t="n">
        <v>53375.32717799431</v>
      </c>
      <c r="I18" s="20" t="n">
        <v>7413.239885832543</v>
      </c>
      <c r="J18" s="20" t="n">
        <v>25000</v>
      </c>
      <c r="K18" s="20">
        <f>SUM(H18:J18)</f>
        <v/>
      </c>
      <c r="L18" s="20">
        <f>G18-K18</f>
        <v/>
      </c>
      <c r="M18" s="20" t="n">
        <v>0</v>
      </c>
      <c r="N18" s="20" t="n">
        <v>173012.9439472081</v>
      </c>
      <c r="O18" s="21">
        <f>L18-M18-N18</f>
        <v/>
      </c>
      <c r="P18" s="20">
        <f>O18/((1+0.10)^(A18/12))</f>
        <v/>
      </c>
    </row>
    <row r="19">
      <c r="A19" s="22" t="n">
        <v>18</v>
      </c>
      <c r="B19" s="22" t="inlineStr">
        <is>
          <t>Month 18</t>
        </is>
      </c>
      <c r="C19" s="23" t="n">
        <v>3667.04242279447</v>
      </c>
      <c r="D19" s="23" t="n">
        <v>2933.633938235576</v>
      </c>
      <c r="E19" s="23" t="n">
        <v>5500.563634191705</v>
      </c>
      <c r="F19" s="24" t="n">
        <v>285295.9004934098</v>
      </c>
      <c r="G19" s="24">
        <f>F19</f>
        <v/>
      </c>
      <c r="H19" s="24" t="n">
        <v>49505.07270772535</v>
      </c>
      <c r="I19" s="24" t="n">
        <v>6875.704542739632</v>
      </c>
      <c r="J19" s="24" t="n">
        <v>25000</v>
      </c>
      <c r="K19" s="24">
        <f>SUM(H19:J19)</f>
        <v/>
      </c>
      <c r="L19" s="24">
        <f>G19-K19</f>
        <v/>
      </c>
      <c r="M19" s="24" t="n">
        <v>0</v>
      </c>
      <c r="N19" s="24" t="n">
        <v>159053.7961294969</v>
      </c>
      <c r="O19" s="25">
        <f>L19-M19-N19</f>
        <v/>
      </c>
      <c r="P19" s="24">
        <f>O19/((1+0.10)^(A19/12))</f>
        <v/>
      </c>
    </row>
    <row r="20">
      <c r="A20" s="11" t="n">
        <v>19</v>
      </c>
      <c r="B20" s="11" t="inlineStr">
        <is>
          <t>Month 19</t>
        </is>
      </c>
      <c r="C20" s="19" t="n">
        <v>3407.549094430006</v>
      </c>
      <c r="D20" s="19" t="n">
        <v>2726.039275544005</v>
      </c>
      <c r="E20" s="19" t="n">
        <v>5111.323641645009</v>
      </c>
      <c r="F20" s="20" t="n">
        <v>265107.3195466545</v>
      </c>
      <c r="G20" s="20">
        <f>F20</f>
        <v/>
      </c>
      <c r="H20" s="20" t="n">
        <v>46001.91277480508</v>
      </c>
      <c r="I20" s="20" t="n">
        <v>6389.154552056261</v>
      </c>
      <c r="J20" s="20" t="n">
        <v>25000</v>
      </c>
      <c r="K20" s="20">
        <f>SUM(H20:J20)</f>
        <v/>
      </c>
      <c r="L20" s="20">
        <f>G20-K20</f>
        <v/>
      </c>
      <c r="M20" s="20" t="n">
        <v>0</v>
      </c>
      <c r="N20" s="20" t="n">
        <v>146418.6767314386</v>
      </c>
      <c r="O20" s="21">
        <f>L20-M20-N20</f>
        <v/>
      </c>
      <c r="P20" s="20">
        <f>O20/((1+0.10)^(A20/12))</f>
        <v/>
      </c>
    </row>
    <row r="21">
      <c r="A21" s="22" t="n">
        <v>20</v>
      </c>
      <c r="B21" s="22" t="inlineStr">
        <is>
          <t>Month 20</t>
        </is>
      </c>
      <c r="C21" s="23" t="n">
        <v>3172.0899792916</v>
      </c>
      <c r="D21" s="23" t="n">
        <v>2537.67198343328</v>
      </c>
      <c r="E21" s="23" t="n">
        <v>4758.1349689374</v>
      </c>
      <c r="F21" s="24" t="n">
        <v>246788.6003888865</v>
      </c>
      <c r="G21" s="24">
        <f>F21</f>
        <v/>
      </c>
      <c r="H21" s="24" t="n">
        <v>42823.2147204366</v>
      </c>
      <c r="I21" s="24" t="n">
        <v>5947.66871117175</v>
      </c>
      <c r="J21" s="24" t="n">
        <v>25000</v>
      </c>
      <c r="K21" s="24">
        <f>SUM(H21:J21)</f>
        <v/>
      </c>
      <c r="L21" s="24">
        <f>G21-K21</f>
        <v/>
      </c>
      <c r="M21" s="24" t="n">
        <v>0</v>
      </c>
      <c r="N21" s="24" t="n">
        <v>134953.8192266769</v>
      </c>
      <c r="O21" s="25">
        <f>L21-M21-N21</f>
        <v/>
      </c>
      <c r="P21" s="24">
        <f>O21/((1+0.10)^(A21/12))</f>
        <v/>
      </c>
    </row>
    <row r="22">
      <c r="A22" s="11" t="n">
        <v>21</v>
      </c>
      <c r="B22" s="11" t="inlineStr">
        <is>
          <t>Month 21</t>
        </is>
      </c>
      <c r="C22" s="19" t="n">
        <v>2957.937972662286</v>
      </c>
      <c r="D22" s="19" t="n">
        <v>2366.350378129829</v>
      </c>
      <c r="E22" s="19" t="n">
        <v>4436.906958993428</v>
      </c>
      <c r="F22" s="20" t="n">
        <v>230127.5742731258</v>
      </c>
      <c r="G22" s="20">
        <f>F22</f>
        <v/>
      </c>
      <c r="H22" s="20" t="n">
        <v>39932.16263094085</v>
      </c>
      <c r="I22" s="20" t="n">
        <v>5546.133698741785</v>
      </c>
      <c r="J22" s="20" t="n">
        <v>25000</v>
      </c>
      <c r="K22" s="20">
        <f>SUM(H22:J22)</f>
        <v/>
      </c>
      <c r="L22" s="20">
        <f>G22-K22</f>
        <v/>
      </c>
      <c r="M22" s="20" t="n">
        <v>0</v>
      </c>
      <c r="N22" s="20" t="n">
        <v>124526.4367958857</v>
      </c>
      <c r="O22" s="21">
        <f>L22-M22-N22</f>
        <v/>
      </c>
      <c r="P22" s="20">
        <f>O22/((1+0.10)^(A22/12))</f>
        <v/>
      </c>
    </row>
    <row r="23">
      <c r="A23" s="22" t="n">
        <v>22</v>
      </c>
      <c r="B23" s="22" t="inlineStr">
        <is>
          <t>Month 22</t>
        </is>
      </c>
      <c r="C23" s="23" t="n">
        <v>2762.729698743198</v>
      </c>
      <c r="D23" s="23" t="n">
        <v>2210.183758994559</v>
      </c>
      <c r="E23" s="23" t="n">
        <v>4144.094548114796</v>
      </c>
      <c r="F23" s="24" t="n">
        <v>214940.3705622208</v>
      </c>
      <c r="G23" s="24">
        <f>F23</f>
        <v/>
      </c>
      <c r="H23" s="24" t="n">
        <v>37296.85093303317</v>
      </c>
      <c r="I23" s="24" t="n">
        <v>5180.118185143496</v>
      </c>
      <c r="J23" s="24" t="n">
        <v>25000</v>
      </c>
      <c r="K23" s="24">
        <f>SUM(H23:J23)</f>
        <v/>
      </c>
      <c r="L23" s="24">
        <f>G23-K23</f>
        <v/>
      </c>
      <c r="M23" s="24" t="n">
        <v>0</v>
      </c>
      <c r="N23" s="24" t="n">
        <v>115021.4531263544</v>
      </c>
      <c r="O23" s="25">
        <f>L23-M23-N23</f>
        <v/>
      </c>
      <c r="P23" s="24">
        <f>O23/((1+0.10)^(A23/12))</f>
        <v/>
      </c>
    </row>
    <row r="24">
      <c r="A24" s="11" t="n">
        <v>23</v>
      </c>
      <c r="B24" s="11" t="inlineStr">
        <is>
          <t>Month 23</t>
        </is>
      </c>
      <c r="C24" s="19" t="n">
        <v>2584.410076299208</v>
      </c>
      <c r="D24" s="19" t="n">
        <v>2067.528061039367</v>
      </c>
      <c r="E24" s="19" t="n">
        <v>3876.615114448812</v>
      </c>
      <c r="F24" s="20" t="n">
        <v>201067.1039360784</v>
      </c>
      <c r="G24" s="20">
        <f>F24</f>
        <v/>
      </c>
      <c r="H24" s="20" t="n">
        <v>34889.53603003931</v>
      </c>
      <c r="I24" s="20" t="n">
        <v>4845.768893061015</v>
      </c>
      <c r="J24" s="20" t="n">
        <v>25000</v>
      </c>
      <c r="K24" s="20">
        <f>SUM(H24:J24)</f>
        <v/>
      </c>
      <c r="L24" s="20">
        <f>G24-K24</f>
        <v/>
      </c>
      <c r="M24" s="20" t="n">
        <v>0</v>
      </c>
      <c r="N24" s="20" t="n">
        <v>106338.8032301229</v>
      </c>
      <c r="O24" s="21">
        <f>L24-M24-N24</f>
        <v/>
      </c>
      <c r="P24" s="20">
        <f>O24/((1+0.10)^(A24/12))</f>
        <v/>
      </c>
    </row>
    <row r="25">
      <c r="A25" s="22" t="n">
        <v>24</v>
      </c>
      <c r="B25" s="22" t="inlineStr">
        <is>
          <t>Month 24</t>
        </is>
      </c>
      <c r="C25" s="23" t="n">
        <v>2421.186342241947</v>
      </c>
      <c r="D25" s="23" t="n">
        <v>1936.949073793558</v>
      </c>
      <c r="E25" s="23" t="n">
        <v>3631.779513362921</v>
      </c>
      <c r="F25" s="24" t="n">
        <v>188368.2974264235</v>
      </c>
      <c r="G25" s="24">
        <f>F25</f>
        <v/>
      </c>
      <c r="H25" s="24" t="n">
        <v>32686.01562026628</v>
      </c>
      <c r="I25" s="24" t="n">
        <v>4539.72439170365</v>
      </c>
      <c r="J25" s="24" t="n">
        <v>25000</v>
      </c>
      <c r="K25" s="24">
        <f>SUM(H25:J25)</f>
        <v/>
      </c>
      <c r="L25" s="24">
        <f>G25-K25</f>
        <v/>
      </c>
      <c r="M25" s="24" t="n">
        <v>0</v>
      </c>
      <c r="N25" s="24" t="n">
        <v>98391.19478327376</v>
      </c>
      <c r="O25" s="25">
        <f>L25-M25-N25</f>
        <v/>
      </c>
      <c r="P25" s="24">
        <f>O25/((1+0.10)^(A25/12))</f>
        <v/>
      </c>
    </row>
    <row r="26">
      <c r="A26" s="11" t="n">
        <v>25</v>
      </c>
      <c r="B26" s="11" t="inlineStr">
        <is>
          <t>Month 25</t>
        </is>
      </c>
      <c r="C26" s="19" t="n">
        <v>2271.489754530447</v>
      </c>
      <c r="D26" s="19" t="n">
        <v>1817.191803624358</v>
      </c>
      <c r="E26" s="19" t="n">
        <v>3407.234631795671</v>
      </c>
      <c r="F26" s="20" t="n">
        <v>176721.9029024688</v>
      </c>
      <c r="G26" s="20">
        <f>F26</f>
        <v/>
      </c>
      <c r="H26" s="20" t="n">
        <v>30665.11168616104</v>
      </c>
      <c r="I26" s="20" t="n">
        <v>4259.043289744589</v>
      </c>
      <c r="J26" s="20" t="n">
        <v>25000</v>
      </c>
      <c r="K26" s="20">
        <f>SUM(H26:J26)</f>
        <v/>
      </c>
      <c r="L26" s="20">
        <f>G26-K26</f>
        <v/>
      </c>
      <c r="M26" s="20" t="n">
        <v>0</v>
      </c>
      <c r="N26" s="20" t="n">
        <v>91102.24338271927</v>
      </c>
      <c r="O26" s="21">
        <f>L26-M26-N26</f>
        <v/>
      </c>
      <c r="P26" s="20">
        <f>O26/((1+0.10)^(A26/12))</f>
        <v/>
      </c>
    </row>
    <row r="27">
      <c r="A27" s="22" t="n">
        <v>26</v>
      </c>
      <c r="B27" s="22" t="inlineStr">
        <is>
          <t>Month 26</t>
        </is>
      </c>
      <c r="C27" s="23" t="n">
        <v>2133.943559987352</v>
      </c>
      <c r="D27" s="23" t="n">
        <v>1707.154847989882</v>
      </c>
      <c r="E27" s="23" t="n">
        <v>3200.915339981028</v>
      </c>
      <c r="F27" s="24" t="n">
        <v>166020.808967016</v>
      </c>
      <c r="G27" s="24">
        <f>F27</f>
        <v/>
      </c>
      <c r="H27" s="24" t="n">
        <v>28808.23805982925</v>
      </c>
      <c r="I27" s="24" t="n">
        <v>4001.144174976285</v>
      </c>
      <c r="J27" s="24" t="n">
        <v>25000</v>
      </c>
      <c r="K27" s="24">
        <f>SUM(H27:J27)</f>
        <v/>
      </c>
      <c r="L27" s="24">
        <f>G27-K27</f>
        <v/>
      </c>
      <c r="M27" s="24" t="n">
        <v>0</v>
      </c>
      <c r="N27" s="24" t="n">
        <v>84404.91285112416</v>
      </c>
      <c r="O27" s="25">
        <f>L27-M27-N27</f>
        <v/>
      </c>
      <c r="P27" s="24">
        <f>O27/((1+0.10)^(A27/12))</f>
        <v/>
      </c>
    </row>
    <row r="28">
      <c r="A28" s="11" t="n">
        <v>27</v>
      </c>
      <c r="B28" s="11" t="inlineStr">
        <is>
          <t>Month 27</t>
        </is>
      </c>
      <c r="C28" s="19" t="n">
        <v>2007.336096420547</v>
      </c>
      <c r="D28" s="19" t="n">
        <v>1605.868877136438</v>
      </c>
      <c r="E28" s="19" t="n">
        <v>3011.00414463082</v>
      </c>
      <c r="F28" s="20" t="n">
        <v>156170.7483015185</v>
      </c>
      <c r="G28" s="20">
        <f>F28</f>
        <v/>
      </c>
      <c r="H28" s="20" t="n">
        <v>27099.03730167738</v>
      </c>
      <c r="I28" s="20" t="n">
        <v>3763.755180788525</v>
      </c>
      <c r="J28" s="20" t="n">
        <v>25000</v>
      </c>
      <c r="K28" s="20">
        <f>SUM(H28:J28)</f>
        <v/>
      </c>
      <c r="L28" s="20">
        <f>G28-K28</f>
        <v/>
      </c>
      <c r="M28" s="20" t="n">
        <v>0</v>
      </c>
      <c r="N28" s="20" t="n">
        <v>78240.20553886105</v>
      </c>
      <c r="O28" s="21">
        <f>L28-M28-N28</f>
        <v/>
      </c>
      <c r="P28" s="20">
        <f>O28/((1+0.10)^(A28/12))</f>
        <v/>
      </c>
    </row>
    <row r="29">
      <c r="A29" s="22" t="n">
        <v>28</v>
      </c>
      <c r="B29" s="22" t="inlineStr">
        <is>
          <t>Month 28</t>
        </is>
      </c>
      <c r="C29" s="23" t="n">
        <v>1890.598120804573</v>
      </c>
      <c r="D29" s="23" t="n">
        <v>1512.478496643659</v>
      </c>
      <c r="E29" s="23" t="n">
        <v>2835.89718120686</v>
      </c>
      <c r="F29" s="24" t="n">
        <v>147088.5337985958</v>
      </c>
      <c r="G29" s="24">
        <f>F29</f>
        <v/>
      </c>
      <c r="H29" s="24" t="n">
        <v>25523.07463086174</v>
      </c>
      <c r="I29" s="24" t="n">
        <v>3544.871476508575</v>
      </c>
      <c r="J29" s="24" t="n">
        <v>25000</v>
      </c>
      <c r="K29" s="24">
        <f>SUM(H29:J29)</f>
        <v/>
      </c>
      <c r="L29" s="24">
        <f>G29-K29</f>
        <v/>
      </c>
      <c r="M29" s="24" t="n">
        <v>0</v>
      </c>
      <c r="N29" s="24" t="n">
        <v>72556.05839915588</v>
      </c>
      <c r="O29" s="25">
        <f>L29-M29-N29</f>
        <v/>
      </c>
      <c r="P29" s="24">
        <f>O29/((1+0.10)^(A29/12))</f>
        <v/>
      </c>
    </row>
    <row r="30">
      <c r="A30" s="11" t="n">
        <v>29</v>
      </c>
      <c r="B30" s="11" t="inlineStr">
        <is>
          <t>Month 29</t>
        </is>
      </c>
      <c r="C30" s="19" t="n">
        <v>1782.783630442704</v>
      </c>
      <c r="D30" s="19" t="n">
        <v>1426.226904354163</v>
      </c>
      <c r="E30" s="19" t="n">
        <v>2674.175445664056</v>
      </c>
      <c r="F30" s="20" t="n">
        <v>138700.5664484424</v>
      </c>
      <c r="G30" s="20">
        <f>F30</f>
        <v/>
      </c>
      <c r="H30" s="20" t="n">
        <v>24067.5790109765</v>
      </c>
      <c r="I30" s="20" t="n">
        <v>3342.71930708007</v>
      </c>
      <c r="J30" s="20" t="n">
        <v>25000</v>
      </c>
      <c r="K30" s="20">
        <f>SUM(H30:J30)</f>
        <v/>
      </c>
      <c r="L30" s="20">
        <f>G30-K30</f>
        <v/>
      </c>
      <c r="M30" s="20" t="n">
        <v>0</v>
      </c>
      <c r="N30" s="20" t="n">
        <v>67306.40914170092</v>
      </c>
      <c r="O30" s="21">
        <f>L30-M30-N30</f>
        <v/>
      </c>
      <c r="P30" s="20">
        <f>O30/((1+0.10)^(A30/12))</f>
        <v/>
      </c>
    </row>
    <row r="31">
      <c r="A31" s="22" t="n">
        <v>30</v>
      </c>
      <c r="B31" s="22" t="inlineStr">
        <is>
          <t>Month 30</t>
        </is>
      </c>
      <c r="C31" s="23" t="n">
        <v>1683.05358272416</v>
      </c>
      <c r="D31" s="23" t="n">
        <v>1346.442866179328</v>
      </c>
      <c r="E31" s="23" t="n">
        <v>2524.580374086239</v>
      </c>
      <c r="F31" s="24" t="n">
        <v>130941.5687359396</v>
      </c>
      <c r="G31" s="24">
        <f>F31</f>
        <v/>
      </c>
      <c r="H31" s="24" t="n">
        <v>22721.22336677616</v>
      </c>
      <c r="I31" s="24" t="n">
        <v>3155.725467607799</v>
      </c>
      <c r="J31" s="24" t="n">
        <v>25000</v>
      </c>
      <c r="K31" s="24">
        <f>SUM(H31:J31)</f>
        <v/>
      </c>
      <c r="L31" s="24">
        <f>G31-K31</f>
        <v/>
      </c>
      <c r="M31" s="24" t="n">
        <v>0</v>
      </c>
      <c r="N31" s="24" t="n">
        <v>62450.40352321343</v>
      </c>
      <c r="O31" s="25">
        <f>L31-M31-N31</f>
        <v/>
      </c>
      <c r="P31" s="24">
        <f>O31/((1+0.10)^(A31/12))</f>
        <v/>
      </c>
    </row>
    <row r="32">
      <c r="A32" s="11" t="n">
        <v>31</v>
      </c>
      <c r="B32" s="11" t="inlineStr">
        <is>
          <t>Month 31</t>
        </is>
      </c>
      <c r="C32" s="19" t="n">
        <v>1590.662029445293</v>
      </c>
      <c r="D32" s="19" t="n">
        <v>1272.529623556235</v>
      </c>
      <c r="E32" s="19" t="n">
        <v>2385.99304416794</v>
      </c>
      <c r="F32" s="20" t="n">
        <v>123753.5058908438</v>
      </c>
      <c r="G32" s="20">
        <f>F32</f>
        <v/>
      </c>
      <c r="H32" s="20" t="n">
        <v>21473.93739751146</v>
      </c>
      <c r="I32" s="20" t="n">
        <v>2982.491305209925</v>
      </c>
      <c r="J32" s="20" t="n">
        <v>25000</v>
      </c>
      <c r="K32" s="20">
        <f>SUM(H32:J32)</f>
        <v/>
      </c>
      <c r="L32" s="20">
        <f>G32-K32</f>
        <v/>
      </c>
      <c r="M32" s="20" t="n">
        <v>0</v>
      </c>
      <c r="N32" s="20" t="n">
        <v>57951.72020673549</v>
      </c>
      <c r="O32" s="21">
        <f>L32-M32-N32</f>
        <v/>
      </c>
      <c r="P32" s="20">
        <f>O32/((1+0.10)^(A32/12))</f>
        <v/>
      </c>
    </row>
    <row r="33">
      <c r="A33" s="22" t="n">
        <v>32</v>
      </c>
      <c r="B33" s="22" t="inlineStr">
        <is>
          <t>Month 32</t>
        </is>
      </c>
      <c r="C33" s="23" t="n">
        <v>1504.944269882187</v>
      </c>
      <c r="D33" s="23" t="n">
        <v>1203.95541590575</v>
      </c>
      <c r="E33" s="23" t="n">
        <v>2257.416404823281</v>
      </c>
      <c r="F33" s="24" t="n">
        <v>117084.6641968341</v>
      </c>
      <c r="G33" s="24">
        <f>F33</f>
        <v/>
      </c>
      <c r="H33" s="24" t="n">
        <v>20316.74764340952</v>
      </c>
      <c r="I33" s="24" t="n">
        <v>2821.770506029101</v>
      </c>
      <c r="J33" s="24" t="n">
        <v>25000</v>
      </c>
      <c r="K33" s="24">
        <f>SUM(H33:J33)</f>
        <v/>
      </c>
      <c r="L33" s="24">
        <f>G33-K33</f>
        <v/>
      </c>
      <c r="M33" s="24" t="n">
        <v>0</v>
      </c>
      <c r="N33" s="24" t="n">
        <v>53777.99391696851</v>
      </c>
      <c r="O33" s="25">
        <f>L33-M33-N33</f>
        <v/>
      </c>
      <c r="P33" s="24">
        <f>O33/((1+0.10)^(A33/12))</f>
        <v/>
      </c>
    </row>
    <row r="34">
      <c r="A34" s="11" t="n">
        <v>33</v>
      </c>
      <c r="B34" s="11" t="inlineStr">
        <is>
          <t>Month 33</t>
        </is>
      </c>
      <c r="C34" s="19" t="n">
        <v>1425.306697643753</v>
      </c>
      <c r="D34" s="19" t="n">
        <v>1140.245358115003</v>
      </c>
      <c r="E34" s="19" t="n">
        <v>2137.96004646563</v>
      </c>
      <c r="F34" s="20" t="n">
        <v>110888.861076684</v>
      </c>
      <c r="G34" s="20">
        <f>F34</f>
        <v/>
      </c>
      <c r="H34" s="20" t="n">
        <v>19241.64041819067</v>
      </c>
      <c r="I34" s="20" t="n">
        <v>2672.450058082037</v>
      </c>
      <c r="J34" s="20" t="n">
        <v>25000</v>
      </c>
      <c r="K34" s="20">
        <f>SUM(H34:J34)</f>
        <v/>
      </c>
      <c r="L34" s="20">
        <f>G34-K34</f>
        <v/>
      </c>
      <c r="M34" s="20" t="n">
        <v>0</v>
      </c>
      <c r="N34" s="20" t="n">
        <v>49900.32106832082</v>
      </c>
      <c r="O34" s="21">
        <f>L34-M34-N34</f>
        <v/>
      </c>
      <c r="P34" s="20">
        <f>O34/((1+0.10)^(A34/12))</f>
        <v/>
      </c>
    </row>
    <row r="35">
      <c r="A35" s="22" t="n">
        <v>34</v>
      </c>
      <c r="B35" s="22" t="inlineStr">
        <is>
          <t>Month 34</t>
        </is>
      </c>
      <c r="C35" s="23" t="n">
        <v>1351.218073468617</v>
      </c>
      <c r="D35" s="23" t="n">
        <v>1080.974458774894</v>
      </c>
      <c r="E35" s="23" t="n">
        <v>2026.827110202926</v>
      </c>
      <c r="F35" s="24" t="n">
        <v>105124.7661158584</v>
      </c>
      <c r="G35" s="24">
        <f>F35</f>
        <v/>
      </c>
      <c r="H35" s="24" t="n">
        <v>18241.44399182633</v>
      </c>
      <c r="I35" s="24" t="n">
        <v>2533.533887753658</v>
      </c>
      <c r="J35" s="24" t="n">
        <v>25000</v>
      </c>
      <c r="K35" s="24">
        <f>SUM(H35:J35)</f>
        <v/>
      </c>
      <c r="L35" s="24">
        <f>G35-K35</f>
        <v/>
      </c>
      <c r="M35" s="24" t="n">
        <v>0</v>
      </c>
      <c r="N35" s="24" t="n">
        <v>46292.83482429718</v>
      </c>
      <c r="O35" s="25">
        <f>L35-M35-N35</f>
        <v/>
      </c>
      <c r="P35" s="24">
        <f>O35/((1+0.10)^(A35/12))</f>
        <v/>
      </c>
    </row>
    <row r="36">
      <c r="A36" s="11" t="n">
        <v>35</v>
      </c>
      <c r="B36" s="11" t="inlineStr">
        <is>
          <t>Month 35</t>
        </is>
      </c>
      <c r="C36" s="19" t="n">
        <v>1282.202002400142</v>
      </c>
      <c r="D36" s="19" t="n">
        <v>1025.761601920113</v>
      </c>
      <c r="E36" s="19" t="n">
        <v>1923.303003600213</v>
      </c>
      <c r="F36" s="20" t="n">
        <v>99755.31578673104</v>
      </c>
      <c r="G36" s="20">
        <f>F36</f>
        <v/>
      </c>
      <c r="H36" s="20" t="n">
        <v>17309.72703240191</v>
      </c>
      <c r="I36" s="20" t="n">
        <v>2404.128754500266</v>
      </c>
      <c r="J36" s="20" t="n">
        <v>25000</v>
      </c>
      <c r="K36" s="20">
        <f>SUM(H36:J36)</f>
        <v/>
      </c>
      <c r="L36" s="20">
        <f>G36-K36</f>
        <v/>
      </c>
      <c r="M36" s="20" t="n">
        <v>0</v>
      </c>
      <c r="N36" s="20" t="n">
        <v>42932.33879986651</v>
      </c>
      <c r="O36" s="21">
        <f>L36-M36-N36</f>
        <v/>
      </c>
      <c r="P36" s="20">
        <f>O36/((1+0.10)^(A36/12))</f>
        <v/>
      </c>
    </row>
    <row r="37">
      <c r="A37" s="22" t="n">
        <v>36</v>
      </c>
      <c r="B37" s="22" t="inlineStr">
        <is>
          <t>Month 36</t>
        </is>
      </c>
      <c r="C37" s="23" t="n">
        <v>1217.830431397598</v>
      </c>
      <c r="D37" s="23" t="n">
        <v>974.2643451180783</v>
      </c>
      <c r="E37" s="23" t="n">
        <v>1826.745647096397</v>
      </c>
      <c r="F37" s="24" t="n">
        <v>94747.20756273311</v>
      </c>
      <c r="G37" s="24">
        <f>F37</f>
        <v/>
      </c>
      <c r="H37" s="24" t="n">
        <v>16440.71082386757</v>
      </c>
      <c r="I37" s="24" t="n">
        <v>2283.432058870496</v>
      </c>
      <c r="J37" s="24" t="n">
        <v>25000</v>
      </c>
      <c r="K37" s="24">
        <f>SUM(H37:J37)</f>
        <v/>
      </c>
      <c r="L37" s="24">
        <f>G37-K37</f>
        <v/>
      </c>
      <c r="M37" s="24" t="n">
        <v>0</v>
      </c>
      <c r="N37" s="24" t="n">
        <v>39797.99045039613</v>
      </c>
      <c r="O37" s="25">
        <f>L37-M37-N37</f>
        <v/>
      </c>
      <c r="P37" s="24">
        <f>O37/((1+0.10)^(A37/12))</f>
        <v/>
      </c>
    </row>
    <row r="38">
      <c r="A38" s="11" t="n">
        <v>37</v>
      </c>
      <c r="B38" s="11" t="inlineStr">
        <is>
          <t>Month 37</t>
        </is>
      </c>
      <c r="C38" s="19" t="n">
        <v>1157.718014151821</v>
      </c>
      <c r="D38" s="19" t="n">
        <v>926.1744113214565</v>
      </c>
      <c r="E38" s="19" t="n">
        <v>1736.577021227731</v>
      </c>
      <c r="F38" s="20" t="n">
        <v>90070.46150101165</v>
      </c>
      <c r="G38" s="20">
        <f>F38</f>
        <v/>
      </c>
      <c r="H38" s="20" t="n">
        <v>15629.19319104958</v>
      </c>
      <c r="I38" s="20" t="n">
        <v>2170.721276534664</v>
      </c>
      <c r="J38" s="20" t="n">
        <v>25000</v>
      </c>
      <c r="K38" s="20">
        <f>SUM(H38:J38)</f>
        <v/>
      </c>
      <c r="L38" s="20">
        <f>G38-K38</f>
        <v/>
      </c>
      <c r="M38" s="20" t="n">
        <v>0</v>
      </c>
      <c r="N38" s="20" t="n">
        <v>36871.02668607338</v>
      </c>
      <c r="O38" s="21">
        <f>L38-M38-N38</f>
        <v/>
      </c>
      <c r="P38" s="20">
        <f>O38/((1+0.10)^(A38/12))</f>
        <v/>
      </c>
    </row>
    <row r="39">
      <c r="A39" s="22" t="n">
        <v>38</v>
      </c>
      <c r="B39" s="22" t="inlineStr">
        <is>
          <t>Month 38</t>
        </is>
      </c>
      <c r="C39" s="23" t="n">
        <v>1101.517215034302</v>
      </c>
      <c r="D39" s="23" t="n">
        <v>881.2137720274418</v>
      </c>
      <c r="E39" s="23" t="n">
        <v>1652.275822551453</v>
      </c>
      <c r="F39" s="24" t="n">
        <v>85698.03932966871</v>
      </c>
      <c r="G39" s="24">
        <f>F39</f>
        <v/>
      </c>
      <c r="H39" s="24" t="n">
        <v>14870.48240296308</v>
      </c>
      <c r="I39" s="24" t="n">
        <v>2065.344778189316</v>
      </c>
      <c r="J39" s="24" t="n">
        <v>25000</v>
      </c>
      <c r="K39" s="24">
        <f>SUM(H39:J39)</f>
        <v/>
      </c>
      <c r="L39" s="24">
        <f>G39-K39</f>
        <v/>
      </c>
      <c r="M39" s="24" t="n">
        <v>0</v>
      </c>
      <c r="N39" s="24" t="n">
        <v>34134.52547584273</v>
      </c>
      <c r="O39" s="25">
        <f>L39-M39-N39</f>
        <v/>
      </c>
      <c r="P39" s="24">
        <f>O39/((1+0.10)^(A39/12))</f>
        <v/>
      </c>
    </row>
    <row r="40">
      <c r="A40" s="11" t="n">
        <v>39</v>
      </c>
      <c r="B40" s="11" t="inlineStr">
        <is>
          <t>Month 39</t>
        </is>
      </c>
      <c r="C40" s="19" t="n">
        <v>1048.914044796149</v>
      </c>
      <c r="D40" s="19" t="n">
        <v>839.1312358369196</v>
      </c>
      <c r="E40" s="19" t="n">
        <v>1573.371067194224</v>
      </c>
      <c r="F40" s="20" t="n">
        <v>81605.51268514042</v>
      </c>
      <c r="G40" s="20">
        <f>F40</f>
        <v/>
      </c>
      <c r="H40" s="20" t="n">
        <v>14160.33960474802</v>
      </c>
      <c r="I40" s="20" t="n">
        <v>1966.71383399278</v>
      </c>
      <c r="J40" s="20" t="n">
        <v>25000</v>
      </c>
      <c r="K40" s="20">
        <f>SUM(H40:J40)</f>
        <v/>
      </c>
      <c r="L40" s="20">
        <f>G40-K40</f>
        <v/>
      </c>
      <c r="M40" s="20" t="n">
        <v>0</v>
      </c>
      <c r="N40" s="20" t="n">
        <v>31573.19821219171</v>
      </c>
      <c r="O40" s="21">
        <f>L40-M40-N40</f>
        <v/>
      </c>
      <c r="P40" s="20">
        <f>O40/((1+0.10)^(A40/12))</f>
        <v/>
      </c>
    </row>
    <row r="41">
      <c r="A41" s="22" t="n">
        <v>40</v>
      </c>
      <c r="B41" s="22" t="inlineStr">
        <is>
          <t>Month 40</t>
        </is>
      </c>
      <c r="C41" s="23" t="n">
        <v>999.6243377019198</v>
      </c>
      <c r="D41" s="23" t="n">
        <v>799.6994701615358</v>
      </c>
      <c r="E41" s="23" t="n">
        <v>1499.43650655288</v>
      </c>
      <c r="F41" s="24" t="n">
        <v>77770.77347320935</v>
      </c>
      <c r="G41" s="24">
        <f>F41</f>
        <v/>
      </c>
      <c r="H41" s="24" t="n">
        <v>13494.92855897592</v>
      </c>
      <c r="I41" s="24" t="n">
        <v>1874.2956331911</v>
      </c>
      <c r="J41" s="24" t="n">
        <v>25000</v>
      </c>
      <c r="K41" s="24">
        <f>SUM(H41:J41)</f>
        <v/>
      </c>
      <c r="L41" s="24">
        <f>G41-K41</f>
        <v/>
      </c>
      <c r="M41" s="24" t="n">
        <v>0</v>
      </c>
      <c r="N41" s="24" t="n">
        <v>29173.20843921302</v>
      </c>
      <c r="O41" s="25">
        <f>L41-M41-N41</f>
        <v/>
      </c>
      <c r="P41" s="24">
        <f>O41/((1+0.10)^(A41/12))</f>
        <v/>
      </c>
    </row>
    <row r="42">
      <c r="A42" s="11" t="n">
        <v>41</v>
      </c>
      <c r="B42" s="11" t="inlineStr">
        <is>
          <t>Month 41</t>
        </is>
      </c>
      <c r="C42" s="19" t="n">
        <v>953.3904939129211</v>
      </c>
      <c r="D42" s="19" t="n">
        <v>762.712395130337</v>
      </c>
      <c r="E42" s="19" t="n">
        <v>1430.085740869382</v>
      </c>
      <c r="F42" s="20" t="n">
        <v>74173.78042642526</v>
      </c>
      <c r="G42" s="20">
        <f>F42</f>
        <v/>
      </c>
      <c r="H42" s="20" t="n">
        <v>12870.77166782443</v>
      </c>
      <c r="I42" s="20" t="n">
        <v>1787.607176086727</v>
      </c>
      <c r="J42" s="20" t="n">
        <v>25000</v>
      </c>
      <c r="K42" s="20">
        <f>SUM(H42:J42)</f>
        <v/>
      </c>
      <c r="L42" s="20">
        <f>G42-K42</f>
        <v/>
      </c>
      <c r="M42" s="20" t="n">
        <v>0</v>
      </c>
      <c r="N42" s="20" t="n">
        <v>26922.013234361</v>
      </c>
      <c r="O42" s="21">
        <f>L42-M42-N42</f>
        <v/>
      </c>
      <c r="P42" s="20">
        <f>O42/((1+0.10)^(A42/12))</f>
        <v/>
      </c>
    </row>
    <row r="43">
      <c r="A43" s="22" t="n">
        <v>42</v>
      </c>
      <c r="B43" s="22" t="inlineStr">
        <is>
          <t>Month 42</t>
        </is>
      </c>
      <c r="C43" s="23" t="n">
        <v>909.9786226689832</v>
      </c>
      <c r="D43" s="23" t="n">
        <v>727.9828981351866</v>
      </c>
      <c r="E43" s="23" t="n">
        <v>1364.967934003475</v>
      </c>
      <c r="F43" s="24" t="n">
        <v>70796.3368436469</v>
      </c>
      <c r="G43" s="24">
        <f>F43</f>
        <v/>
      </c>
      <c r="H43" s="24" t="n">
        <v>12284.71140603127</v>
      </c>
      <c r="I43" s="24" t="n">
        <v>1706.209917504344</v>
      </c>
      <c r="J43" s="24" t="n">
        <v>25000</v>
      </c>
      <c r="K43" s="24">
        <f>SUM(H43:J43)</f>
        <v/>
      </c>
      <c r="L43" s="24">
        <f>G43-K43</f>
        <v/>
      </c>
      <c r="M43" s="24" t="n">
        <v>0</v>
      </c>
      <c r="N43" s="24" t="n">
        <v>24808.2241056868</v>
      </c>
      <c r="O43" s="25">
        <f>L43-M43-N43</f>
        <v/>
      </c>
      <c r="P43" s="24">
        <f>O43/((1+0.10)^(A43/12))</f>
        <v/>
      </c>
    </row>
    <row r="44">
      <c r="A44" s="11" t="n">
        <v>43</v>
      </c>
      <c r="B44" s="11" t="inlineStr">
        <is>
          <t>Month 43</t>
        </is>
      </c>
      <c r="C44" s="19" t="n">
        <v>869.1760315932437</v>
      </c>
      <c r="D44" s="19" t="n">
        <v>695.340825274595</v>
      </c>
      <c r="E44" s="19" t="n">
        <v>1303.764047389865</v>
      </c>
      <c r="F44" s="20" t="n">
        <v>67621.89525795437</v>
      </c>
      <c r="G44" s="20">
        <f>F44</f>
        <v/>
      </c>
      <c r="H44" s="20" t="n">
        <v>11733.87642650879</v>
      </c>
      <c r="I44" s="20" t="n">
        <v>1629.705059237332</v>
      </c>
      <c r="J44" s="20" t="n">
        <v>25000</v>
      </c>
      <c r="K44" s="20">
        <f>SUM(H44:J44)</f>
        <v/>
      </c>
      <c r="L44" s="20">
        <f>G44-K44</f>
        <v/>
      </c>
      <c r="M44" s="20" t="n">
        <v>0</v>
      </c>
      <c r="N44" s="20" t="n">
        <v>22821.48474232243</v>
      </c>
      <c r="O44" s="21">
        <f>L44-M44-N44</f>
        <v/>
      </c>
      <c r="P44" s="20">
        <f>O44/((1+0.10)^(A44/12))</f>
        <v/>
      </c>
    </row>
    <row r="45">
      <c r="A45" s="22" t="n">
        <v>44</v>
      </c>
      <c r="B45" s="22" t="inlineStr">
        <is>
          <t>Month 44</t>
        </is>
      </c>
      <c r="C45" s="23" t="n">
        <v>830.7890156127517</v>
      </c>
      <c r="D45" s="23" t="n">
        <v>664.6312124902014</v>
      </c>
      <c r="E45" s="23" t="n">
        <v>1246.183523419128</v>
      </c>
      <c r="F45" s="24" t="n">
        <v>64635.38541467208</v>
      </c>
      <c r="G45" s="24">
        <f>F45</f>
        <v/>
      </c>
      <c r="H45" s="24" t="n">
        <v>11215.65171077215</v>
      </c>
      <c r="I45" s="24" t="n">
        <v>1557.729404273909</v>
      </c>
      <c r="J45" s="24" t="n">
        <v>25000</v>
      </c>
      <c r="K45" s="24">
        <f>SUM(H45:J45)</f>
        <v/>
      </c>
      <c r="L45" s="24">
        <f>G45-K45</f>
        <v/>
      </c>
      <c r="M45" s="24" t="n">
        <v>0</v>
      </c>
      <c r="N45" s="24" t="n">
        <v>20952.3633537083</v>
      </c>
      <c r="O45" s="25">
        <f>L45-M45-N45</f>
        <v/>
      </c>
      <c r="P45" s="24">
        <f>O45/((1+0.10)^(A45/12))</f>
        <v/>
      </c>
    </row>
    <row r="46">
      <c r="A46" s="11" t="n">
        <v>45</v>
      </c>
      <c r="B46" s="11" t="inlineStr">
        <is>
          <t>Month 45</t>
        </is>
      </c>
      <c r="C46" s="19" t="n">
        <v>794.6409058327719</v>
      </c>
      <c r="D46" s="19" t="n">
        <v>635.7127246662176</v>
      </c>
      <c r="E46" s="19" t="n">
        <v>1191.961358749158</v>
      </c>
      <c r="F46" s="20" t="n">
        <v>61823.06247378965</v>
      </c>
      <c r="G46" s="20">
        <f>F46</f>
        <v/>
      </c>
      <c r="H46" s="20" t="n">
        <v>10727.65222874242</v>
      </c>
      <c r="I46" s="20" t="n">
        <v>1489.951698436447</v>
      </c>
      <c r="J46" s="20" t="n">
        <v>25000</v>
      </c>
      <c r="K46" s="20">
        <f>SUM(H46:J46)</f>
        <v/>
      </c>
      <c r="L46" s="20">
        <f>G46-K46</f>
        <v/>
      </c>
      <c r="M46" s="20" t="n">
        <v>0</v>
      </c>
      <c r="N46" s="20" t="n">
        <v>19192.25766635641</v>
      </c>
      <c r="O46" s="21">
        <f>L46-M46-N46</f>
        <v/>
      </c>
      <c r="P46" s="20">
        <f>O46/((1+0.10)^(A46/12))</f>
        <v/>
      </c>
    </row>
    <row r="47">
      <c r="A47" s="22" t="n">
        <v>46</v>
      </c>
      <c r="B47" s="22" t="inlineStr">
        <is>
          <t>Month 46</t>
        </is>
      </c>
      <c r="C47" s="23" t="n">
        <v>760.5703444550827</v>
      </c>
      <c r="D47" s="23" t="n">
        <v>608.4562755640662</v>
      </c>
      <c r="E47" s="23" t="n">
        <v>1140.855516682624</v>
      </c>
      <c r="F47" s="24" t="n">
        <v>59172.37279860543</v>
      </c>
      <c r="G47" s="24">
        <f>F47</f>
        <v/>
      </c>
      <c r="H47" s="24" t="n">
        <v>10267.69965014362</v>
      </c>
      <c r="I47" s="24" t="n">
        <v>1426.06939585328</v>
      </c>
      <c r="J47" s="24" t="n">
        <v>25000</v>
      </c>
      <c r="K47" s="24">
        <f>SUM(H47:J47)</f>
        <v/>
      </c>
      <c r="L47" s="24">
        <f>G47-K47</f>
        <v/>
      </c>
      <c r="M47" s="24" t="n">
        <v>0</v>
      </c>
      <c r="N47" s="24" t="n">
        <v>17533.31092703465</v>
      </c>
      <c r="O47" s="25">
        <f>L47-M47-N47</f>
        <v/>
      </c>
      <c r="P47" s="24">
        <f>O47/((1+0.10)^(A47/12))</f>
        <v/>
      </c>
    </row>
    <row r="48">
      <c r="A48" s="11" t="n">
        <v>47</v>
      </c>
      <c r="B48" s="11" t="inlineStr">
        <is>
          <t>Month 47</t>
        </is>
      </c>
      <c r="C48" s="19" t="n">
        <v>728.4297566779907</v>
      </c>
      <c r="D48" s="19" t="n">
        <v>582.7438053423925</v>
      </c>
      <c r="E48" s="19" t="n">
        <v>1092.644635016986</v>
      </c>
      <c r="F48" s="20" t="n">
        <v>56671.83506954768</v>
      </c>
      <c r="G48" s="20">
        <f>F48</f>
        <v/>
      </c>
      <c r="H48" s="20" t="n">
        <v>9833.801715152875</v>
      </c>
      <c r="I48" s="20" t="n">
        <v>1365.805793771233</v>
      </c>
      <c r="J48" s="20" t="n">
        <v>25000</v>
      </c>
      <c r="K48" s="20">
        <f>SUM(H48:J48)</f>
        <v/>
      </c>
      <c r="L48" s="20">
        <f>G48-K48</f>
        <v/>
      </c>
      <c r="M48" s="20" t="n">
        <v>0</v>
      </c>
      <c r="N48" s="20" t="n">
        <v>15968.33749728639</v>
      </c>
      <c r="O48" s="21">
        <f>L48-M48-N48</f>
        <v/>
      </c>
      <c r="P48" s="20">
        <f>O48/((1+0.10)^(A48/12))</f>
        <v/>
      </c>
    </row>
    <row r="49">
      <c r="A49" s="22" t="n">
        <v>48</v>
      </c>
      <c r="B49" s="22" t="inlineStr">
        <is>
          <t>Month 48</t>
        </is>
      </c>
      <c r="C49" s="23" t="n">
        <v>698.0839946113279</v>
      </c>
      <c r="D49" s="23" t="n">
        <v>558.4671956890624</v>
      </c>
      <c r="E49" s="23" t="n">
        <v>1047.125991916992</v>
      </c>
      <c r="F49" s="24" t="n">
        <v>54310.93478076131</v>
      </c>
      <c r="G49" s="24">
        <f>F49</f>
        <v/>
      </c>
      <c r="H49" s="24" t="n">
        <v>9424.133927252926</v>
      </c>
      <c r="I49" s="24" t="n">
        <v>1308.90748989624</v>
      </c>
      <c r="J49" s="24" t="n">
        <v>25000</v>
      </c>
      <c r="K49" s="24">
        <f>SUM(H49:J49)</f>
        <v/>
      </c>
      <c r="L49" s="24">
        <f>G49-K49</f>
        <v/>
      </c>
      <c r="M49" s="24" t="n">
        <v>0</v>
      </c>
      <c r="N49" s="24" t="n">
        <v>14490.75682361747</v>
      </c>
      <c r="O49" s="25">
        <f>L49-M49-N49</f>
        <v/>
      </c>
      <c r="P49" s="24">
        <f>O49/((1+0.10)^(A49/12))</f>
        <v/>
      </c>
    </row>
    <row r="50">
      <c r="A50" s="11" t="n">
        <v>49</v>
      </c>
      <c r="B50" s="11" t="inlineStr">
        <is>
          <t>Month 49</t>
        </is>
      </c>
      <c r="C50" s="19" t="n">
        <v>669.4091317089351</v>
      </c>
      <c r="D50" s="19" t="n">
        <v>535.5273053671481</v>
      </c>
      <c r="E50" s="19" t="n">
        <v>1004.113697563403</v>
      </c>
      <c r="F50" s="20" t="n">
        <v>52080.03044695515</v>
      </c>
      <c r="G50" s="20">
        <f>F50</f>
        <v/>
      </c>
      <c r="H50" s="20" t="n">
        <v>9037.023278070625</v>
      </c>
      <c r="I50" s="20" t="n">
        <v>1255.142121954253</v>
      </c>
      <c r="J50" s="20" t="n">
        <v>25000</v>
      </c>
      <c r="K50" s="20">
        <f>SUM(H50:J50)</f>
        <v/>
      </c>
      <c r="L50" s="20">
        <f>G50-K50</f>
        <v/>
      </c>
      <c r="M50" s="20" t="n">
        <v>0</v>
      </c>
      <c r="N50" s="20" t="n">
        <v>13094.53473660561</v>
      </c>
      <c r="O50" s="21">
        <f>L50-M50-N50</f>
        <v/>
      </c>
      <c r="P50" s="20">
        <f>O50/((1+0.10)^(A50/12))</f>
        <v/>
      </c>
    </row>
    <row r="51">
      <c r="A51" s="22" t="n">
        <v>50</v>
      </c>
      <c r="B51" s="22" t="inlineStr">
        <is>
          <t>Month 50</t>
        </is>
      </c>
      <c r="C51" s="23" t="n">
        <v>642.2913891671166</v>
      </c>
      <c r="D51" s="23" t="n">
        <v>513.8331113336933</v>
      </c>
      <c r="E51" s="23" t="n">
        <v>963.4370837506749</v>
      </c>
      <c r="F51" s="24" t="n">
        <v>49970.27007720167</v>
      </c>
      <c r="G51" s="24">
        <f>F51</f>
        <v/>
      </c>
      <c r="H51" s="24" t="n">
        <v>8670.933753756073</v>
      </c>
      <c r="I51" s="24" t="n">
        <v>1204.296354688344</v>
      </c>
      <c r="J51" s="24" t="n">
        <v>25000</v>
      </c>
      <c r="K51" s="24">
        <f>SUM(H51:J51)</f>
        <v/>
      </c>
      <c r="L51" s="24">
        <f>G51-K51</f>
        <v/>
      </c>
      <c r="M51" s="24" t="n">
        <v>0</v>
      </c>
      <c r="N51" s="24" t="n">
        <v>11774.13117563065</v>
      </c>
      <c r="O51" s="25">
        <f>L51-M51-N51</f>
        <v/>
      </c>
      <c r="P51" s="24">
        <f>O51/((1+0.10)^(A51/12))</f>
        <v/>
      </c>
    </row>
    <row r="52">
      <c r="A52" s="11" t="n">
        <v>51</v>
      </c>
      <c r="B52" s="11" t="inlineStr">
        <is>
          <t>Month 51</t>
        </is>
      </c>
      <c r="C52" s="19" t="n">
        <v>616.62617824524</v>
      </c>
      <c r="D52" s="19" t="n">
        <v>493.300942596192</v>
      </c>
      <c r="E52" s="19" t="n">
        <v>924.93926736786</v>
      </c>
      <c r="F52" s="20" t="n">
        <v>47973.51666747967</v>
      </c>
      <c r="G52" s="20">
        <f>F52</f>
        <v/>
      </c>
      <c r="H52" s="20" t="n">
        <v>8324.45340631074</v>
      </c>
      <c r="I52" s="20" t="n">
        <v>1156.174084209825</v>
      </c>
      <c r="J52" s="20" t="n">
        <v>25000</v>
      </c>
      <c r="K52" s="20">
        <f>SUM(H52:J52)</f>
        <v/>
      </c>
      <c r="L52" s="20">
        <f>G52-K52</f>
        <v/>
      </c>
      <c r="M52" s="20" t="n">
        <v>0</v>
      </c>
      <c r="N52" s="20" t="n">
        <v>10524.4535580281</v>
      </c>
      <c r="O52" s="21">
        <f>L52-M52-N52</f>
        <v/>
      </c>
      <c r="P52" s="20">
        <f>O52/((1+0.10)^(A52/12))</f>
        <v/>
      </c>
    </row>
    <row r="53">
      <c r="A53" s="22" t="n">
        <v>52</v>
      </c>
      <c r="B53" s="22" t="inlineStr">
        <is>
          <t>Month 52</t>
        </is>
      </c>
      <c r="C53" s="23" t="n">
        <v>592.3172446042958</v>
      </c>
      <c r="D53" s="23" t="n">
        <v>473.8537956834366</v>
      </c>
      <c r="E53" s="23" t="n">
        <v>888.4758669064436</v>
      </c>
      <c r="F53" s="24" t="n">
        <v>46082.28163021422</v>
      </c>
      <c r="G53" s="24">
        <f>F53</f>
        <v/>
      </c>
      <c r="H53" s="24" t="n">
        <v>7996.282802157993</v>
      </c>
      <c r="I53" s="24" t="n">
        <v>1110.594833633054</v>
      </c>
      <c r="J53" s="24" t="n">
        <v>25000</v>
      </c>
      <c r="K53" s="24">
        <f>SUM(H53:J53)</f>
        <v/>
      </c>
      <c r="L53" s="24">
        <f>G53-K53</f>
        <v/>
      </c>
      <c r="M53" s="24" t="n">
        <v>0</v>
      </c>
      <c r="N53" s="24" t="n">
        <v>9340.815115650073</v>
      </c>
      <c r="O53" s="25">
        <f>L53-M53-N53</f>
        <v/>
      </c>
      <c r="P53" s="24">
        <f>O53/((1+0.10)^(A53/12))</f>
        <v/>
      </c>
    </row>
    <row r="54">
      <c r="A54" s="11" t="n">
        <v>53</v>
      </c>
      <c r="B54" s="11" t="inlineStr">
        <is>
          <t>Month 53</t>
        </is>
      </c>
      <c r="C54" s="19" t="n">
        <v>569.2759025889468</v>
      </c>
      <c r="D54" s="19" t="n">
        <v>455.4207220711575</v>
      </c>
      <c r="E54" s="19" t="n">
        <v>853.9138538834202</v>
      </c>
      <c r="F54" s="20" t="n">
        <v>44289.66522142007</v>
      </c>
      <c r="G54" s="20">
        <f>F54</f>
        <v/>
      </c>
      <c r="H54" s="20" t="n">
        <v>7685.224684950782</v>
      </c>
      <c r="I54" s="20" t="n">
        <v>1067.392317354275</v>
      </c>
      <c r="J54" s="20" t="n">
        <v>25000</v>
      </c>
      <c r="K54" s="20">
        <f>SUM(H54:J54)</f>
        <v/>
      </c>
      <c r="L54" s="20">
        <f>G54-K54</f>
        <v/>
      </c>
      <c r="M54" s="20" t="n">
        <v>0</v>
      </c>
      <c r="N54" s="20" t="n">
        <v>8218.897610909706</v>
      </c>
      <c r="O54" s="21">
        <f>L54-M54-N54</f>
        <v/>
      </c>
      <c r="P54" s="20">
        <f>O54/((1+0.10)^(A54/12))</f>
        <v/>
      </c>
    </row>
    <row r="55">
      <c r="A55" s="22" t="n">
        <v>54</v>
      </c>
      <c r="B55" s="22" t="inlineStr">
        <is>
          <t>Month 54</t>
        </is>
      </c>
      <c r="C55" s="23" t="n">
        <v>547.4203489468006</v>
      </c>
      <c r="D55" s="23" t="n">
        <v>437.9362791574405</v>
      </c>
      <c r="E55" s="23" t="n">
        <v>821.1305234202009</v>
      </c>
      <c r="F55" s="24" t="n">
        <v>42589.30314806109</v>
      </c>
      <c r="G55" s="24">
        <f>F55</f>
        <v/>
      </c>
      <c r="H55" s="24" t="n">
        <v>7390.174710781807</v>
      </c>
      <c r="I55" s="24" t="n">
        <v>1026.413154275251</v>
      </c>
      <c r="J55" s="24" t="n">
        <v>25000</v>
      </c>
      <c r="K55" s="24">
        <f>SUM(H55:J55)</f>
        <v/>
      </c>
      <c r="L55" s="24">
        <f>G55-K55</f>
        <v/>
      </c>
      <c r="M55" s="24" t="n">
        <v>0</v>
      </c>
      <c r="N55" s="24" t="n">
        <v>7154.717920743143</v>
      </c>
      <c r="O55" s="25">
        <f>L55-M55-N55</f>
        <v/>
      </c>
      <c r="P55" s="24">
        <f>O55/((1+0.10)^(A55/12))</f>
        <v/>
      </c>
    </row>
    <row r="56">
      <c r="A56" s="11" t="n">
        <v>55</v>
      </c>
      <c r="B56" s="11" t="inlineStr">
        <is>
          <t>Month 55</t>
        </is>
      </c>
      <c r="C56" s="19" t="n">
        <v>526.6750468255485</v>
      </c>
      <c r="D56" s="19" t="n">
        <v>421.3400374604389</v>
      </c>
      <c r="E56" s="19" t="n">
        <v>790.0125702383227</v>
      </c>
      <c r="F56" s="20" t="n">
        <v>40975.31864302768</v>
      </c>
      <c r="G56" s="20">
        <f>F56</f>
        <v/>
      </c>
      <c r="H56" s="20" t="n">
        <v>7110.113132144905</v>
      </c>
      <c r="I56" s="20" t="n">
        <v>987.5157127979035</v>
      </c>
      <c r="J56" s="20" t="n">
        <v>25000</v>
      </c>
      <c r="K56" s="20">
        <f>SUM(H56:J56)</f>
        <v/>
      </c>
      <c r="L56" s="20">
        <f>G56-K56</f>
        <v/>
      </c>
      <c r="M56" s="20" t="n">
        <v>0</v>
      </c>
      <c r="N56" s="20" t="n">
        <v>6144.598042506196</v>
      </c>
      <c r="O56" s="21">
        <f>L56-M56-N56</f>
        <v/>
      </c>
      <c r="P56" s="20">
        <f>O56/((1+0.10)^(A56/12))</f>
        <v/>
      </c>
    </row>
    <row r="57">
      <c r="A57" s="22" t="n">
        <v>56</v>
      </c>
      <c r="B57" s="22" t="inlineStr">
        <is>
          <t>Month 56</t>
        </is>
      </c>
      <c r="C57" s="23" t="n">
        <v>506.970172047904</v>
      </c>
      <c r="D57" s="23" t="n">
        <v>405.5761376383232</v>
      </c>
      <c r="E57" s="23" t="n">
        <v>760.455258071856</v>
      </c>
      <c r="F57" s="24" t="n">
        <v>39442.27938532692</v>
      </c>
      <c r="G57" s="24">
        <f>F57</f>
        <v/>
      </c>
      <c r="H57" s="24" t="n">
        <v>6844.097322646704</v>
      </c>
      <c r="I57" s="24" t="n">
        <v>950.5690725898199</v>
      </c>
      <c r="J57" s="24" t="n">
        <v>25000</v>
      </c>
      <c r="K57" s="24">
        <f>SUM(H57:J57)</f>
        <v/>
      </c>
      <c r="L57" s="24">
        <f>G57-K57</f>
        <v/>
      </c>
      <c r="M57" s="24" t="n">
        <v>0</v>
      </c>
      <c r="N57" s="24" t="n">
        <v>5185.13813227051</v>
      </c>
      <c r="O57" s="25">
        <f>L57-M57-N57</f>
        <v/>
      </c>
      <c r="P57" s="24">
        <f>O57/((1+0.10)^(A57/12))</f>
        <v/>
      </c>
    </row>
    <row r="58">
      <c r="A58" s="11" t="n">
        <v>57</v>
      </c>
      <c r="B58" s="11" t="inlineStr">
        <is>
          <t>Month 57</t>
        </is>
      </c>
      <c r="C58" s="19" t="n">
        <v>488.2411146641026</v>
      </c>
      <c r="D58" s="19" t="n">
        <v>390.5928917312821</v>
      </c>
      <c r="E58" s="19" t="n">
        <v>732.361671996154</v>
      </c>
      <c r="F58" s="20" t="n">
        <v>37985.15872086718</v>
      </c>
      <c r="G58" s="20">
        <f>F58</f>
        <v/>
      </c>
      <c r="H58" s="20" t="n">
        <v>6591.255047965386</v>
      </c>
      <c r="I58" s="20" t="n">
        <v>915.4520899951924</v>
      </c>
      <c r="J58" s="20" t="n">
        <v>25000</v>
      </c>
      <c r="K58" s="20">
        <f>SUM(H58:J58)</f>
        <v/>
      </c>
      <c r="L58" s="20">
        <f>G58-K58</f>
        <v/>
      </c>
      <c r="M58" s="20" t="n">
        <v>0</v>
      </c>
      <c r="N58" s="20" t="n">
        <v>4273.192234667154</v>
      </c>
      <c r="O58" s="21">
        <f>L58-M58-N58</f>
        <v/>
      </c>
      <c r="P58" s="20">
        <f>O58/((1+0.10)^(A58/12))</f>
        <v/>
      </c>
    </row>
    <row r="59">
      <c r="A59" s="22" t="n">
        <v>58</v>
      </c>
      <c r="B59" s="22" t="inlineStr">
        <is>
          <t>Month 58</t>
        </is>
      </c>
      <c r="C59" s="23" t="n">
        <v>470.4280296457404</v>
      </c>
      <c r="D59" s="23" t="n">
        <v>376.3424237165924</v>
      </c>
      <c r="E59" s="23" t="n">
        <v>705.6420444686106</v>
      </c>
      <c r="F59" s="24" t="n">
        <v>36599.30070643861</v>
      </c>
      <c r="G59" s="24">
        <f>F59</f>
        <v/>
      </c>
      <c r="H59" s="24" t="n">
        <v>6350.778400217496</v>
      </c>
      <c r="I59" s="24" t="n">
        <v>882.0525555857632</v>
      </c>
      <c r="J59" s="24" t="n">
        <v>25000</v>
      </c>
      <c r="K59" s="24">
        <f>SUM(H59:J59)</f>
        <v/>
      </c>
      <c r="L59" s="24">
        <f>G59-K59</f>
        <v/>
      </c>
      <c r="M59" s="24" t="n">
        <v>0</v>
      </c>
      <c r="N59" s="24" t="n">
        <v>3405.846405495574</v>
      </c>
      <c r="O59" s="25">
        <f>L59-M59-N59</f>
        <v/>
      </c>
      <c r="P59" s="24">
        <f>O59/((1+0.10)^(A59/12))</f>
        <v/>
      </c>
    </row>
    <row r="60">
      <c r="A60" s="11" t="n">
        <v>59</v>
      </c>
      <c r="B60" s="11" t="inlineStr">
        <is>
          <t>Month 59</t>
        </is>
      </c>
      <c r="C60" s="19" t="n">
        <v>453.4754313327931</v>
      </c>
      <c r="D60" s="19" t="n">
        <v>362.7803450662345</v>
      </c>
      <c r="E60" s="19" t="n">
        <v>680.2131469991896</v>
      </c>
      <c r="F60" s="20" t="n">
        <v>35280.3885576913</v>
      </c>
      <c r="G60" s="20">
        <f>F60</f>
        <v/>
      </c>
      <c r="H60" s="20" t="n">
        <v>6121.918322992706</v>
      </c>
      <c r="I60" s="20" t="n">
        <v>850.266433748987</v>
      </c>
      <c r="J60" s="20" t="n">
        <v>25000</v>
      </c>
      <c r="K60" s="20">
        <f>SUM(H60:J60)</f>
        <v/>
      </c>
      <c r="L60" s="20">
        <f>G60-K60</f>
        <v/>
      </c>
      <c r="M60" s="20" t="n">
        <v>0</v>
      </c>
      <c r="N60" s="20" t="n">
        <v>2580.398964740696</v>
      </c>
      <c r="O60" s="21">
        <f>L60-M60-N60</f>
        <v/>
      </c>
      <c r="P60" s="20">
        <f>O60/((1+0.10)^(A60/12))</f>
        <v/>
      </c>
    </row>
    <row r="61">
      <c r="A61" s="22" t="n">
        <v>60</v>
      </c>
      <c r="B61" s="22" t="inlineStr">
        <is>
          <t>Month 60</t>
        </is>
      </c>
      <c r="C61" s="23" t="n">
        <v>437.3318268945926</v>
      </c>
      <c r="D61" s="23" t="n">
        <v>349.865461515674</v>
      </c>
      <c r="E61" s="23" t="n">
        <v>655.9977403418889</v>
      </c>
      <c r="F61" s="24" t="n">
        <v>34024.4161323993</v>
      </c>
      <c r="G61" s="24">
        <f>F61</f>
        <v/>
      </c>
      <c r="H61" s="24" t="n">
        <v>5903.979663077</v>
      </c>
      <c r="I61" s="24" t="n">
        <v>819.9971754273611</v>
      </c>
      <c r="J61" s="24" t="n">
        <v>25000</v>
      </c>
      <c r="K61" s="24">
        <f>SUM(H61:J61)</f>
        <v/>
      </c>
      <c r="L61" s="24">
        <f>G61-K61</f>
        <v/>
      </c>
      <c r="M61" s="24" t="n">
        <v>0</v>
      </c>
      <c r="N61" s="24" t="n">
        <v>1794.342649238055</v>
      </c>
      <c r="O61" s="25">
        <f>L61-M61-N61</f>
        <v/>
      </c>
      <c r="P61" s="24">
        <f>O61/((1+0.10)^(A61/12))</f>
        <v/>
      </c>
    </row>
    <row r="62">
      <c r="A62" s="11" t="n">
        <v>61</v>
      </c>
      <c r="B62" s="11" t="inlineStr">
        <is>
          <t>Month 61</t>
        </is>
      </c>
      <c r="C62" s="19" t="n">
        <v>421.9493846294618</v>
      </c>
      <c r="D62" s="19" t="n">
        <v>337.5595077035695</v>
      </c>
      <c r="E62" s="19" t="n">
        <v>632.9240769441927</v>
      </c>
      <c r="F62" s="20" t="n">
        <v>32827.66212417213</v>
      </c>
      <c r="G62" s="20">
        <f>F62</f>
        <v/>
      </c>
      <c r="H62" s="20" t="n">
        <v>5696.316692497734</v>
      </c>
      <c r="I62" s="20" t="n">
        <v>791.1550961802409</v>
      </c>
      <c r="J62" s="20" t="n">
        <v>25000</v>
      </c>
      <c r="K62" s="20">
        <f>SUM(H62:J62)</f>
        <v/>
      </c>
      <c r="L62" s="20">
        <f>G62-K62</f>
        <v/>
      </c>
      <c r="M62" s="20" t="n">
        <v>0</v>
      </c>
      <c r="N62" s="20" t="n">
        <v>1045.34846168544</v>
      </c>
      <c r="O62" s="21">
        <f>L62-M62-N62</f>
        <v/>
      </c>
      <c r="P62" s="20">
        <f>O62/((1+0.10)^(A62/12))</f>
        <v/>
      </c>
    </row>
    <row r="63">
      <c r="A63" s="22" t="n">
        <v>62</v>
      </c>
      <c r="B63" s="22" t="inlineStr">
        <is>
          <t>Month 62</t>
        </is>
      </c>
      <c r="C63" s="23" t="n">
        <v>407.2836334186662</v>
      </c>
      <c r="D63" s="23" t="n">
        <v>325.826906734933</v>
      </c>
      <c r="E63" s="23" t="n">
        <v>610.9254501279993</v>
      </c>
      <c r="F63" s="24" t="n">
        <v>31686.66667997223</v>
      </c>
      <c r="G63" s="24">
        <f>F63</f>
        <v/>
      </c>
      <c r="H63" s="24" t="n">
        <v>5498.329051151994</v>
      </c>
      <c r="I63" s="24" t="n">
        <v>763.6568126599991</v>
      </c>
      <c r="J63" s="24" t="n">
        <v>25000</v>
      </c>
      <c r="K63" s="24">
        <f>SUM(H63:J63)</f>
        <v/>
      </c>
      <c r="L63" s="24">
        <f>G63-K63</f>
        <v/>
      </c>
      <c r="M63" s="24" t="n">
        <v>2500000</v>
      </c>
      <c r="N63" s="24" t="n">
        <v>0</v>
      </c>
      <c r="O63" s="25">
        <f>L63-M63-N63</f>
        <v/>
      </c>
      <c r="P63" s="24">
        <f>O63/((1+0.10)^(A63/12))</f>
        <v/>
      </c>
    </row>
    <row r="64">
      <c r="A64" s="11" t="n">
        <v>63</v>
      </c>
      <c r="B64" s="11" t="inlineStr">
        <is>
          <t>Month 63</t>
        </is>
      </c>
      <c r="C64" s="19" t="n">
        <v>0</v>
      </c>
      <c r="D64" s="19" t="n">
        <v>0</v>
      </c>
      <c r="E64" s="19" t="n">
        <v>0</v>
      </c>
      <c r="F64" s="20" t="n">
        <v>0</v>
      </c>
      <c r="G64" s="20">
        <f>F64</f>
        <v/>
      </c>
      <c r="H64" s="20" t="n">
        <v>0</v>
      </c>
      <c r="I64" s="20" t="n">
        <v>0</v>
      </c>
      <c r="J64" s="20" t="n">
        <v>0</v>
      </c>
      <c r="K64" s="20">
        <f>SUM(H64:J64)</f>
        <v/>
      </c>
      <c r="L64" s="20">
        <f>G64-K64</f>
        <v/>
      </c>
      <c r="M64" s="20" t="n">
        <v>0</v>
      </c>
      <c r="N64" s="20" t="n">
        <v>0</v>
      </c>
      <c r="O64" s="21">
        <f>L64-M64-N64</f>
        <v/>
      </c>
      <c r="P64" s="20">
        <f>O64/((1+0.10)^(A64/12))</f>
        <v/>
      </c>
    </row>
    <row r="65">
      <c r="A65" s="22" t="n">
        <v>64</v>
      </c>
      <c r="B65" s="22" t="inlineStr">
        <is>
          <t>Month 64</t>
        </is>
      </c>
      <c r="C65" s="23" t="n">
        <v>0</v>
      </c>
      <c r="D65" s="23" t="n">
        <v>0</v>
      </c>
      <c r="E65" s="23" t="n">
        <v>0</v>
      </c>
      <c r="F65" s="24" t="n">
        <v>0</v>
      </c>
      <c r="G65" s="24">
        <f>F65</f>
        <v/>
      </c>
      <c r="H65" s="24" t="n">
        <v>0</v>
      </c>
      <c r="I65" s="24" t="n">
        <v>0</v>
      </c>
      <c r="J65" s="24" t="n">
        <v>0</v>
      </c>
      <c r="K65" s="24">
        <f>SUM(H65:J65)</f>
        <v/>
      </c>
      <c r="L65" s="24">
        <f>G65-K65</f>
        <v/>
      </c>
      <c r="M65" s="24" t="n">
        <v>0</v>
      </c>
      <c r="N65" s="24" t="n">
        <v>0</v>
      </c>
      <c r="O65" s="25">
        <f>L65-M65-N65</f>
        <v/>
      </c>
      <c r="P65" s="24">
        <f>O65/((1+0.10)^(A65/12))</f>
        <v/>
      </c>
    </row>
    <row r="66">
      <c r="A66" s="11" t="n">
        <v>65</v>
      </c>
      <c r="B66" s="11" t="inlineStr">
        <is>
          <t>Month 65</t>
        </is>
      </c>
      <c r="C66" s="19" t="n">
        <v>0</v>
      </c>
      <c r="D66" s="19" t="n">
        <v>0</v>
      </c>
      <c r="E66" s="19" t="n">
        <v>0</v>
      </c>
      <c r="F66" s="20" t="n">
        <v>0</v>
      </c>
      <c r="G66" s="20">
        <f>F66</f>
        <v/>
      </c>
      <c r="H66" s="20" t="n">
        <v>0</v>
      </c>
      <c r="I66" s="20" t="n">
        <v>0</v>
      </c>
      <c r="J66" s="20" t="n">
        <v>0</v>
      </c>
      <c r="K66" s="20">
        <f>SUM(H66:J66)</f>
        <v/>
      </c>
      <c r="L66" s="20">
        <f>G66-K66</f>
        <v/>
      </c>
      <c r="M66" s="20" t="n">
        <v>0</v>
      </c>
      <c r="N66" s="20" t="n">
        <v>0</v>
      </c>
      <c r="O66" s="21">
        <f>L66-M66-N66</f>
        <v/>
      </c>
      <c r="P66" s="20">
        <f>O66/((1+0.10)^(A66/12))</f>
        <v/>
      </c>
    </row>
    <row r="67">
      <c r="A67" s="22" t="n">
        <v>66</v>
      </c>
      <c r="B67" s="22" t="inlineStr">
        <is>
          <t>Month 66</t>
        </is>
      </c>
      <c r="C67" s="23" t="n">
        <v>0</v>
      </c>
      <c r="D67" s="23" t="n">
        <v>0</v>
      </c>
      <c r="E67" s="23" t="n">
        <v>0</v>
      </c>
      <c r="F67" s="24" t="n">
        <v>0</v>
      </c>
      <c r="G67" s="24">
        <f>F67</f>
        <v/>
      </c>
      <c r="H67" s="24" t="n">
        <v>0</v>
      </c>
      <c r="I67" s="24" t="n">
        <v>0</v>
      </c>
      <c r="J67" s="24" t="n">
        <v>0</v>
      </c>
      <c r="K67" s="24">
        <f>SUM(H67:J67)</f>
        <v/>
      </c>
      <c r="L67" s="24">
        <f>G67-K67</f>
        <v/>
      </c>
      <c r="M67" s="24" t="n">
        <v>0</v>
      </c>
      <c r="N67" s="24" t="n">
        <v>0</v>
      </c>
      <c r="O67" s="25">
        <f>L67-M67-N67</f>
        <v/>
      </c>
      <c r="P67" s="24">
        <f>O67/((1+0.10)^(A67/12))</f>
        <v/>
      </c>
    </row>
    <row r="68">
      <c r="A68" s="11" t="n">
        <v>67</v>
      </c>
      <c r="B68" s="11" t="inlineStr">
        <is>
          <t>Month 67</t>
        </is>
      </c>
      <c r="C68" s="19" t="n">
        <v>0</v>
      </c>
      <c r="D68" s="19" t="n">
        <v>0</v>
      </c>
      <c r="E68" s="19" t="n">
        <v>0</v>
      </c>
      <c r="F68" s="20" t="n">
        <v>0</v>
      </c>
      <c r="G68" s="20">
        <f>F68</f>
        <v/>
      </c>
      <c r="H68" s="20" t="n">
        <v>0</v>
      </c>
      <c r="I68" s="20" t="n">
        <v>0</v>
      </c>
      <c r="J68" s="20" t="n">
        <v>0</v>
      </c>
      <c r="K68" s="20">
        <f>SUM(H68:J68)</f>
        <v/>
      </c>
      <c r="L68" s="20">
        <f>G68-K68</f>
        <v/>
      </c>
      <c r="M68" s="20" t="n">
        <v>0</v>
      </c>
      <c r="N68" s="20" t="n">
        <v>0</v>
      </c>
      <c r="O68" s="21">
        <f>L68-M68-N68</f>
        <v/>
      </c>
      <c r="P68" s="20">
        <f>O68/((1+0.10)^(A68/12))</f>
        <v/>
      </c>
    </row>
    <row r="69">
      <c r="A69" s="22" t="n">
        <v>68</v>
      </c>
      <c r="B69" s="22" t="inlineStr">
        <is>
          <t>Month 68</t>
        </is>
      </c>
      <c r="C69" s="23" t="n">
        <v>0</v>
      </c>
      <c r="D69" s="23" t="n">
        <v>0</v>
      </c>
      <c r="E69" s="23" t="n">
        <v>0</v>
      </c>
      <c r="F69" s="24" t="n">
        <v>0</v>
      </c>
      <c r="G69" s="24">
        <f>F69</f>
        <v/>
      </c>
      <c r="H69" s="24" t="n">
        <v>0</v>
      </c>
      <c r="I69" s="24" t="n">
        <v>0</v>
      </c>
      <c r="J69" s="24" t="n">
        <v>0</v>
      </c>
      <c r="K69" s="24">
        <f>SUM(H69:J69)</f>
        <v/>
      </c>
      <c r="L69" s="24">
        <f>G69-K69</f>
        <v/>
      </c>
      <c r="M69" s="24" t="n">
        <v>0</v>
      </c>
      <c r="N69" s="24" t="n">
        <v>0</v>
      </c>
      <c r="O69" s="25">
        <f>L69-M69-N69</f>
        <v/>
      </c>
      <c r="P69" s="24">
        <f>O69/((1+0.10)^(A69/12))</f>
        <v/>
      </c>
    </row>
    <row r="70">
      <c r="A70" s="11" t="n">
        <v>69</v>
      </c>
      <c r="B70" s="11" t="inlineStr">
        <is>
          <t>Month 69</t>
        </is>
      </c>
      <c r="C70" s="19" t="n">
        <v>0</v>
      </c>
      <c r="D70" s="19" t="n">
        <v>0</v>
      </c>
      <c r="E70" s="19" t="n">
        <v>0</v>
      </c>
      <c r="F70" s="20" t="n">
        <v>0</v>
      </c>
      <c r="G70" s="20">
        <f>F70</f>
        <v/>
      </c>
      <c r="H70" s="20" t="n">
        <v>0</v>
      </c>
      <c r="I70" s="20" t="n">
        <v>0</v>
      </c>
      <c r="J70" s="20" t="n">
        <v>0</v>
      </c>
      <c r="K70" s="20">
        <f>SUM(H70:J70)</f>
        <v/>
      </c>
      <c r="L70" s="20">
        <f>G70-K70</f>
        <v/>
      </c>
      <c r="M70" s="20" t="n">
        <v>0</v>
      </c>
      <c r="N70" s="20" t="n">
        <v>0</v>
      </c>
      <c r="O70" s="21">
        <f>L70-M70-N70</f>
        <v/>
      </c>
      <c r="P70" s="20">
        <f>O70/((1+0.10)^(A70/12))</f>
        <v/>
      </c>
    </row>
    <row r="71">
      <c r="A71" s="22" t="n">
        <v>70</v>
      </c>
      <c r="B71" s="22" t="inlineStr">
        <is>
          <t>Month 70</t>
        </is>
      </c>
      <c r="C71" s="23" t="n">
        <v>0</v>
      </c>
      <c r="D71" s="23" t="n">
        <v>0</v>
      </c>
      <c r="E71" s="23" t="n">
        <v>0</v>
      </c>
      <c r="F71" s="24" t="n">
        <v>0</v>
      </c>
      <c r="G71" s="24">
        <f>F71</f>
        <v/>
      </c>
      <c r="H71" s="24" t="n">
        <v>0</v>
      </c>
      <c r="I71" s="24" t="n">
        <v>0</v>
      </c>
      <c r="J71" s="24" t="n">
        <v>0</v>
      </c>
      <c r="K71" s="24">
        <f>SUM(H71:J71)</f>
        <v/>
      </c>
      <c r="L71" s="24">
        <f>G71-K71</f>
        <v/>
      </c>
      <c r="M71" s="24" t="n">
        <v>0</v>
      </c>
      <c r="N71" s="24" t="n">
        <v>0</v>
      </c>
      <c r="O71" s="25">
        <f>L71-M71-N71</f>
        <v/>
      </c>
      <c r="P71" s="24">
        <f>O71/((1+0.10)^(A71/12))</f>
        <v/>
      </c>
    </row>
    <row r="72">
      <c r="A72" s="11" t="n">
        <v>71</v>
      </c>
      <c r="B72" s="11" t="inlineStr">
        <is>
          <t>Month 71</t>
        </is>
      </c>
      <c r="C72" s="19" t="n">
        <v>0</v>
      </c>
      <c r="D72" s="19" t="n">
        <v>0</v>
      </c>
      <c r="E72" s="19" t="n">
        <v>0</v>
      </c>
      <c r="F72" s="20" t="n">
        <v>0</v>
      </c>
      <c r="G72" s="20">
        <f>F72</f>
        <v/>
      </c>
      <c r="H72" s="20" t="n">
        <v>0</v>
      </c>
      <c r="I72" s="20" t="n">
        <v>0</v>
      </c>
      <c r="J72" s="20" t="n">
        <v>0</v>
      </c>
      <c r="K72" s="20">
        <f>SUM(H72:J72)</f>
        <v/>
      </c>
      <c r="L72" s="20">
        <f>G72-K72</f>
        <v/>
      </c>
      <c r="M72" s="20" t="n">
        <v>0</v>
      </c>
      <c r="N72" s="20" t="n">
        <v>0</v>
      </c>
      <c r="O72" s="21">
        <f>L72-M72-N72</f>
        <v/>
      </c>
      <c r="P72" s="20">
        <f>O72/((1+0.10)^(A72/12))</f>
        <v/>
      </c>
    </row>
    <row r="73">
      <c r="A73" s="22" t="n">
        <v>72</v>
      </c>
      <c r="B73" s="22" t="inlineStr">
        <is>
          <t>Month 72</t>
        </is>
      </c>
      <c r="C73" s="23" t="n">
        <v>0</v>
      </c>
      <c r="D73" s="23" t="n">
        <v>0</v>
      </c>
      <c r="E73" s="23" t="n">
        <v>0</v>
      </c>
      <c r="F73" s="24" t="n">
        <v>0</v>
      </c>
      <c r="G73" s="24">
        <f>F73</f>
        <v/>
      </c>
      <c r="H73" s="24" t="n">
        <v>0</v>
      </c>
      <c r="I73" s="24" t="n">
        <v>0</v>
      </c>
      <c r="J73" s="24" t="n">
        <v>0</v>
      </c>
      <c r="K73" s="24">
        <f>SUM(H73:J73)</f>
        <v/>
      </c>
      <c r="L73" s="24">
        <f>G73-K73</f>
        <v/>
      </c>
      <c r="M73" s="24" t="n">
        <v>0</v>
      </c>
      <c r="N73" s="24" t="n">
        <v>0</v>
      </c>
      <c r="O73" s="25">
        <f>L73-M73-N73</f>
        <v/>
      </c>
      <c r="P73" s="24">
        <f>O73/((1+0.10)^(A73/12))</f>
        <v/>
      </c>
    </row>
    <row r="74">
      <c r="A74" s="11" t="n">
        <v>73</v>
      </c>
      <c r="B74" s="11" t="inlineStr">
        <is>
          <t>Month 73</t>
        </is>
      </c>
      <c r="C74" s="19" t="n">
        <v>0</v>
      </c>
      <c r="D74" s="19" t="n">
        <v>0</v>
      </c>
      <c r="E74" s="19" t="n">
        <v>0</v>
      </c>
      <c r="F74" s="20" t="n">
        <v>0</v>
      </c>
      <c r="G74" s="20">
        <f>F74</f>
        <v/>
      </c>
      <c r="H74" s="20" t="n">
        <v>0</v>
      </c>
      <c r="I74" s="20" t="n">
        <v>0</v>
      </c>
      <c r="J74" s="20" t="n">
        <v>0</v>
      </c>
      <c r="K74" s="20">
        <f>SUM(H74:J74)</f>
        <v/>
      </c>
      <c r="L74" s="20">
        <f>G74-K74</f>
        <v/>
      </c>
      <c r="M74" s="20" t="n">
        <v>0</v>
      </c>
      <c r="N74" s="20" t="n">
        <v>0</v>
      </c>
      <c r="O74" s="21">
        <f>L74-M74-N74</f>
        <v/>
      </c>
      <c r="P74" s="20">
        <f>O74/((1+0.10)^(A74/12))</f>
        <v/>
      </c>
    </row>
    <row r="75">
      <c r="A75" s="22" t="n">
        <v>74</v>
      </c>
      <c r="B75" s="22" t="inlineStr">
        <is>
          <t>Month 74</t>
        </is>
      </c>
      <c r="C75" s="23" t="n">
        <v>0</v>
      </c>
      <c r="D75" s="23" t="n">
        <v>0</v>
      </c>
      <c r="E75" s="23" t="n">
        <v>0</v>
      </c>
      <c r="F75" s="24" t="n">
        <v>0</v>
      </c>
      <c r="G75" s="24">
        <f>F75</f>
        <v/>
      </c>
      <c r="H75" s="24" t="n">
        <v>0</v>
      </c>
      <c r="I75" s="24" t="n">
        <v>0</v>
      </c>
      <c r="J75" s="24" t="n">
        <v>0</v>
      </c>
      <c r="K75" s="24">
        <f>SUM(H75:J75)</f>
        <v/>
      </c>
      <c r="L75" s="24">
        <f>G75-K75</f>
        <v/>
      </c>
      <c r="M75" s="24" t="n">
        <v>0</v>
      </c>
      <c r="N75" s="24" t="n">
        <v>0</v>
      </c>
      <c r="O75" s="25">
        <f>L75-M75-N75</f>
        <v/>
      </c>
      <c r="P75" s="24">
        <f>O75/((1+0.10)^(A75/12))</f>
        <v/>
      </c>
    </row>
    <row r="76">
      <c r="A76" s="11" t="n">
        <v>75</v>
      </c>
      <c r="B76" s="11" t="inlineStr">
        <is>
          <t>Month 75</t>
        </is>
      </c>
      <c r="C76" s="19" t="n">
        <v>0</v>
      </c>
      <c r="D76" s="19" t="n">
        <v>0</v>
      </c>
      <c r="E76" s="19" t="n">
        <v>0</v>
      </c>
      <c r="F76" s="20" t="n">
        <v>0</v>
      </c>
      <c r="G76" s="20">
        <f>F76</f>
        <v/>
      </c>
      <c r="H76" s="20" t="n">
        <v>0</v>
      </c>
      <c r="I76" s="20" t="n">
        <v>0</v>
      </c>
      <c r="J76" s="20" t="n">
        <v>0</v>
      </c>
      <c r="K76" s="20">
        <f>SUM(H76:J76)</f>
        <v/>
      </c>
      <c r="L76" s="20">
        <f>G76-K76</f>
        <v/>
      </c>
      <c r="M76" s="20" t="n">
        <v>0</v>
      </c>
      <c r="N76" s="20" t="n">
        <v>0</v>
      </c>
      <c r="O76" s="21">
        <f>L76-M76-N76</f>
        <v/>
      </c>
      <c r="P76" s="20">
        <f>O76/((1+0.10)^(A76/12))</f>
        <v/>
      </c>
    </row>
    <row r="77">
      <c r="A77" s="22" t="n">
        <v>76</v>
      </c>
      <c r="B77" s="22" t="inlineStr">
        <is>
          <t>Month 76</t>
        </is>
      </c>
      <c r="C77" s="23" t="n">
        <v>0</v>
      </c>
      <c r="D77" s="23" t="n">
        <v>0</v>
      </c>
      <c r="E77" s="23" t="n">
        <v>0</v>
      </c>
      <c r="F77" s="24" t="n">
        <v>0</v>
      </c>
      <c r="G77" s="24">
        <f>F77</f>
        <v/>
      </c>
      <c r="H77" s="24" t="n">
        <v>0</v>
      </c>
      <c r="I77" s="24" t="n">
        <v>0</v>
      </c>
      <c r="J77" s="24" t="n">
        <v>0</v>
      </c>
      <c r="K77" s="24">
        <f>SUM(H77:J77)</f>
        <v/>
      </c>
      <c r="L77" s="24">
        <f>G77-K77</f>
        <v/>
      </c>
      <c r="M77" s="24" t="n">
        <v>0</v>
      </c>
      <c r="N77" s="24" t="n">
        <v>0</v>
      </c>
      <c r="O77" s="25">
        <f>L77-M77-N77</f>
        <v/>
      </c>
      <c r="P77" s="24">
        <f>O77/((1+0.10)^(A77/12))</f>
        <v/>
      </c>
    </row>
    <row r="78">
      <c r="A78" s="11" t="n">
        <v>77</v>
      </c>
      <c r="B78" s="11" t="inlineStr">
        <is>
          <t>Month 77</t>
        </is>
      </c>
      <c r="C78" s="19" t="n">
        <v>0</v>
      </c>
      <c r="D78" s="19" t="n">
        <v>0</v>
      </c>
      <c r="E78" s="19" t="n">
        <v>0</v>
      </c>
      <c r="F78" s="20" t="n">
        <v>0</v>
      </c>
      <c r="G78" s="20">
        <f>F78</f>
        <v/>
      </c>
      <c r="H78" s="20" t="n">
        <v>0</v>
      </c>
      <c r="I78" s="20" t="n">
        <v>0</v>
      </c>
      <c r="J78" s="20" t="n">
        <v>0</v>
      </c>
      <c r="K78" s="20">
        <f>SUM(H78:J78)</f>
        <v/>
      </c>
      <c r="L78" s="20">
        <f>G78-K78</f>
        <v/>
      </c>
      <c r="M78" s="20" t="n">
        <v>0</v>
      </c>
      <c r="N78" s="20" t="n">
        <v>0</v>
      </c>
      <c r="O78" s="21">
        <f>L78-M78-N78</f>
        <v/>
      </c>
      <c r="P78" s="20">
        <f>O78/((1+0.10)^(A78/12))</f>
        <v/>
      </c>
    </row>
    <row r="79">
      <c r="A79" s="22" t="n">
        <v>78</v>
      </c>
      <c r="B79" s="22" t="inlineStr">
        <is>
          <t>Month 78</t>
        </is>
      </c>
      <c r="C79" s="23" t="n">
        <v>0</v>
      </c>
      <c r="D79" s="23" t="n">
        <v>0</v>
      </c>
      <c r="E79" s="23" t="n">
        <v>0</v>
      </c>
      <c r="F79" s="24" t="n">
        <v>0</v>
      </c>
      <c r="G79" s="24">
        <f>F79</f>
        <v/>
      </c>
      <c r="H79" s="24" t="n">
        <v>0</v>
      </c>
      <c r="I79" s="24" t="n">
        <v>0</v>
      </c>
      <c r="J79" s="24" t="n">
        <v>0</v>
      </c>
      <c r="K79" s="24">
        <f>SUM(H79:J79)</f>
        <v/>
      </c>
      <c r="L79" s="24">
        <f>G79-K79</f>
        <v/>
      </c>
      <c r="M79" s="24" t="n">
        <v>0</v>
      </c>
      <c r="N79" s="24" t="n">
        <v>0</v>
      </c>
      <c r="O79" s="25">
        <f>L79-M79-N79</f>
        <v/>
      </c>
      <c r="P79" s="24">
        <f>O79/((1+0.10)^(A79/12))</f>
        <v/>
      </c>
    </row>
    <row r="80">
      <c r="A80" s="11" t="n">
        <v>79</v>
      </c>
      <c r="B80" s="11" t="inlineStr">
        <is>
          <t>Month 79</t>
        </is>
      </c>
      <c r="C80" s="19" t="n">
        <v>0</v>
      </c>
      <c r="D80" s="19" t="n">
        <v>0</v>
      </c>
      <c r="E80" s="19" t="n">
        <v>0</v>
      </c>
      <c r="F80" s="20" t="n">
        <v>0</v>
      </c>
      <c r="G80" s="20">
        <f>F80</f>
        <v/>
      </c>
      <c r="H80" s="20" t="n">
        <v>0</v>
      </c>
      <c r="I80" s="20" t="n">
        <v>0</v>
      </c>
      <c r="J80" s="20" t="n">
        <v>0</v>
      </c>
      <c r="K80" s="20">
        <f>SUM(H80:J80)</f>
        <v/>
      </c>
      <c r="L80" s="20">
        <f>G80-K80</f>
        <v/>
      </c>
      <c r="M80" s="20" t="n">
        <v>0</v>
      </c>
      <c r="N80" s="20" t="n">
        <v>0</v>
      </c>
      <c r="O80" s="21">
        <f>L80-M80-N80</f>
        <v/>
      </c>
      <c r="P80" s="20">
        <f>O80/((1+0.10)^(A80/12))</f>
        <v/>
      </c>
    </row>
    <row r="81">
      <c r="A81" s="22" t="n">
        <v>80</v>
      </c>
      <c r="B81" s="22" t="inlineStr">
        <is>
          <t>Month 80</t>
        </is>
      </c>
      <c r="C81" s="23" t="n">
        <v>0</v>
      </c>
      <c r="D81" s="23" t="n">
        <v>0</v>
      </c>
      <c r="E81" s="23" t="n">
        <v>0</v>
      </c>
      <c r="F81" s="24" t="n">
        <v>0</v>
      </c>
      <c r="G81" s="24">
        <f>F81</f>
        <v/>
      </c>
      <c r="H81" s="24" t="n">
        <v>0</v>
      </c>
      <c r="I81" s="24" t="n">
        <v>0</v>
      </c>
      <c r="J81" s="24" t="n">
        <v>0</v>
      </c>
      <c r="K81" s="24">
        <f>SUM(H81:J81)</f>
        <v/>
      </c>
      <c r="L81" s="24">
        <f>G81-K81</f>
        <v/>
      </c>
      <c r="M81" s="24" t="n">
        <v>0</v>
      </c>
      <c r="N81" s="24" t="n">
        <v>0</v>
      </c>
      <c r="O81" s="25">
        <f>L81-M81-N81</f>
        <v/>
      </c>
      <c r="P81" s="24">
        <f>O81/((1+0.10)^(A81/12))</f>
        <v/>
      </c>
    </row>
    <row r="82">
      <c r="A82" s="11" t="n">
        <v>81</v>
      </c>
      <c r="B82" s="11" t="inlineStr">
        <is>
          <t>Month 81</t>
        </is>
      </c>
      <c r="C82" s="19" t="n">
        <v>0</v>
      </c>
      <c r="D82" s="19" t="n">
        <v>0</v>
      </c>
      <c r="E82" s="19" t="n">
        <v>0</v>
      </c>
      <c r="F82" s="20" t="n">
        <v>0</v>
      </c>
      <c r="G82" s="20">
        <f>F82</f>
        <v/>
      </c>
      <c r="H82" s="20" t="n">
        <v>0</v>
      </c>
      <c r="I82" s="20" t="n">
        <v>0</v>
      </c>
      <c r="J82" s="20" t="n">
        <v>0</v>
      </c>
      <c r="K82" s="20">
        <f>SUM(H82:J82)</f>
        <v/>
      </c>
      <c r="L82" s="20">
        <f>G82-K82</f>
        <v/>
      </c>
      <c r="M82" s="20" t="n">
        <v>0</v>
      </c>
      <c r="N82" s="20" t="n">
        <v>0</v>
      </c>
      <c r="O82" s="21">
        <f>L82-M82-N82</f>
        <v/>
      </c>
      <c r="P82" s="20">
        <f>O82/((1+0.10)^(A82/12))</f>
        <v/>
      </c>
    </row>
    <row r="83">
      <c r="A83" s="22" t="n">
        <v>82</v>
      </c>
      <c r="B83" s="22" t="inlineStr">
        <is>
          <t>Month 82</t>
        </is>
      </c>
      <c r="C83" s="23" t="n">
        <v>0</v>
      </c>
      <c r="D83" s="23" t="n">
        <v>0</v>
      </c>
      <c r="E83" s="23" t="n">
        <v>0</v>
      </c>
      <c r="F83" s="24" t="n">
        <v>0</v>
      </c>
      <c r="G83" s="24">
        <f>F83</f>
        <v/>
      </c>
      <c r="H83" s="24" t="n">
        <v>0</v>
      </c>
      <c r="I83" s="24" t="n">
        <v>0</v>
      </c>
      <c r="J83" s="24" t="n">
        <v>0</v>
      </c>
      <c r="K83" s="24">
        <f>SUM(H83:J83)</f>
        <v/>
      </c>
      <c r="L83" s="24">
        <f>G83-K83</f>
        <v/>
      </c>
      <c r="M83" s="24" t="n">
        <v>0</v>
      </c>
      <c r="N83" s="24" t="n">
        <v>0</v>
      </c>
      <c r="O83" s="25">
        <f>L83-M83-N83</f>
        <v/>
      </c>
      <c r="P83" s="24">
        <f>O83/((1+0.10)^(A83/12))</f>
        <v/>
      </c>
    </row>
    <row r="84">
      <c r="A84" s="11" t="n">
        <v>83</v>
      </c>
      <c r="B84" s="11" t="inlineStr">
        <is>
          <t>Month 83</t>
        </is>
      </c>
      <c r="C84" s="19" t="n">
        <v>0</v>
      </c>
      <c r="D84" s="19" t="n">
        <v>0</v>
      </c>
      <c r="E84" s="19" t="n">
        <v>0</v>
      </c>
      <c r="F84" s="20" t="n">
        <v>0</v>
      </c>
      <c r="G84" s="20">
        <f>F84</f>
        <v/>
      </c>
      <c r="H84" s="20" t="n">
        <v>0</v>
      </c>
      <c r="I84" s="20" t="n">
        <v>0</v>
      </c>
      <c r="J84" s="20" t="n">
        <v>0</v>
      </c>
      <c r="K84" s="20">
        <f>SUM(H84:J84)</f>
        <v/>
      </c>
      <c r="L84" s="20">
        <f>G84-K84</f>
        <v/>
      </c>
      <c r="M84" s="20" t="n">
        <v>0</v>
      </c>
      <c r="N84" s="20" t="n">
        <v>0</v>
      </c>
      <c r="O84" s="21">
        <f>L84-M84-N84</f>
        <v/>
      </c>
      <c r="P84" s="20">
        <f>O84/((1+0.10)^(A84/12))</f>
        <v/>
      </c>
    </row>
    <row r="85">
      <c r="A85" s="22" t="n">
        <v>84</v>
      </c>
      <c r="B85" s="22" t="inlineStr">
        <is>
          <t>Month 84</t>
        </is>
      </c>
      <c r="C85" s="23" t="n">
        <v>0</v>
      </c>
      <c r="D85" s="23" t="n">
        <v>0</v>
      </c>
      <c r="E85" s="23" t="n">
        <v>0</v>
      </c>
      <c r="F85" s="24" t="n">
        <v>0</v>
      </c>
      <c r="G85" s="24">
        <f>F85</f>
        <v/>
      </c>
      <c r="H85" s="24" t="n">
        <v>0</v>
      </c>
      <c r="I85" s="24" t="n">
        <v>0</v>
      </c>
      <c r="J85" s="24" t="n">
        <v>0</v>
      </c>
      <c r="K85" s="24">
        <f>SUM(H85:J85)</f>
        <v/>
      </c>
      <c r="L85" s="24">
        <f>G85-K85</f>
        <v/>
      </c>
      <c r="M85" s="24" t="n">
        <v>0</v>
      </c>
      <c r="N85" s="24" t="n">
        <v>0</v>
      </c>
      <c r="O85" s="25">
        <f>L85-M85-N85</f>
        <v/>
      </c>
      <c r="P85" s="24">
        <f>O85/((1+0.10)^(A85/12))</f>
        <v/>
      </c>
    </row>
    <row r="86">
      <c r="A86" s="11" t="n">
        <v>85</v>
      </c>
      <c r="B86" s="11" t="inlineStr">
        <is>
          <t>Month 85</t>
        </is>
      </c>
      <c r="C86" s="19" t="n">
        <v>0</v>
      </c>
      <c r="D86" s="19" t="n">
        <v>0</v>
      </c>
      <c r="E86" s="19" t="n">
        <v>0</v>
      </c>
      <c r="F86" s="20" t="n">
        <v>0</v>
      </c>
      <c r="G86" s="20">
        <f>F86</f>
        <v/>
      </c>
      <c r="H86" s="20" t="n">
        <v>0</v>
      </c>
      <c r="I86" s="20" t="n">
        <v>0</v>
      </c>
      <c r="J86" s="20" t="n">
        <v>0</v>
      </c>
      <c r="K86" s="20">
        <f>SUM(H86:J86)</f>
        <v/>
      </c>
      <c r="L86" s="20">
        <f>G86-K86</f>
        <v/>
      </c>
      <c r="M86" s="20" t="n">
        <v>0</v>
      </c>
      <c r="N86" s="20" t="n">
        <v>0</v>
      </c>
      <c r="O86" s="21">
        <f>L86-M86-N86</f>
        <v/>
      </c>
      <c r="P86" s="20">
        <f>O86/((1+0.10)^(A86/12))</f>
        <v/>
      </c>
    </row>
    <row r="87">
      <c r="A87" s="22" t="n">
        <v>86</v>
      </c>
      <c r="B87" s="22" t="inlineStr">
        <is>
          <t>Month 86</t>
        </is>
      </c>
      <c r="C87" s="23" t="n">
        <v>0</v>
      </c>
      <c r="D87" s="23" t="n">
        <v>0</v>
      </c>
      <c r="E87" s="23" t="n">
        <v>0</v>
      </c>
      <c r="F87" s="24" t="n">
        <v>0</v>
      </c>
      <c r="G87" s="24">
        <f>F87</f>
        <v/>
      </c>
      <c r="H87" s="24" t="n">
        <v>0</v>
      </c>
      <c r="I87" s="24" t="n">
        <v>0</v>
      </c>
      <c r="J87" s="24" t="n">
        <v>0</v>
      </c>
      <c r="K87" s="24">
        <f>SUM(H87:J87)</f>
        <v/>
      </c>
      <c r="L87" s="24">
        <f>G87-K87</f>
        <v/>
      </c>
      <c r="M87" s="24" t="n">
        <v>0</v>
      </c>
      <c r="N87" s="24" t="n">
        <v>0</v>
      </c>
      <c r="O87" s="25">
        <f>L87-M87-N87</f>
        <v/>
      </c>
      <c r="P87" s="24">
        <f>O87/((1+0.10)^(A87/12))</f>
        <v/>
      </c>
    </row>
    <row r="88">
      <c r="A88" s="11" t="n">
        <v>87</v>
      </c>
      <c r="B88" s="11" t="inlineStr">
        <is>
          <t>Month 87</t>
        </is>
      </c>
      <c r="C88" s="19" t="n">
        <v>0</v>
      </c>
      <c r="D88" s="19" t="n">
        <v>0</v>
      </c>
      <c r="E88" s="19" t="n">
        <v>0</v>
      </c>
      <c r="F88" s="20" t="n">
        <v>0</v>
      </c>
      <c r="G88" s="20">
        <f>F88</f>
        <v/>
      </c>
      <c r="H88" s="20" t="n">
        <v>0</v>
      </c>
      <c r="I88" s="20" t="n">
        <v>0</v>
      </c>
      <c r="J88" s="20" t="n">
        <v>0</v>
      </c>
      <c r="K88" s="20">
        <f>SUM(H88:J88)</f>
        <v/>
      </c>
      <c r="L88" s="20">
        <f>G88-K88</f>
        <v/>
      </c>
      <c r="M88" s="20" t="n">
        <v>0</v>
      </c>
      <c r="N88" s="20" t="n">
        <v>0</v>
      </c>
      <c r="O88" s="21">
        <f>L88-M88-N88</f>
        <v/>
      </c>
      <c r="P88" s="20">
        <f>O88/((1+0.10)^(A88/12))</f>
        <v/>
      </c>
    </row>
    <row r="89">
      <c r="A89" s="22" t="n">
        <v>88</v>
      </c>
      <c r="B89" s="22" t="inlineStr">
        <is>
          <t>Month 88</t>
        </is>
      </c>
      <c r="C89" s="23" t="n">
        <v>0</v>
      </c>
      <c r="D89" s="23" t="n">
        <v>0</v>
      </c>
      <c r="E89" s="23" t="n">
        <v>0</v>
      </c>
      <c r="F89" s="24" t="n">
        <v>0</v>
      </c>
      <c r="G89" s="24">
        <f>F89</f>
        <v/>
      </c>
      <c r="H89" s="24" t="n">
        <v>0</v>
      </c>
      <c r="I89" s="24" t="n">
        <v>0</v>
      </c>
      <c r="J89" s="24" t="n">
        <v>0</v>
      </c>
      <c r="K89" s="24">
        <f>SUM(H89:J89)</f>
        <v/>
      </c>
      <c r="L89" s="24">
        <f>G89-K89</f>
        <v/>
      </c>
      <c r="M89" s="24" t="n">
        <v>0</v>
      </c>
      <c r="N89" s="24" t="n">
        <v>0</v>
      </c>
      <c r="O89" s="25">
        <f>L89-M89-N89</f>
        <v/>
      </c>
      <c r="P89" s="24">
        <f>O89/((1+0.10)^(A89/12))</f>
        <v/>
      </c>
    </row>
    <row r="90">
      <c r="A90" s="11" t="n">
        <v>89</v>
      </c>
      <c r="B90" s="11" t="inlineStr">
        <is>
          <t>Month 89</t>
        </is>
      </c>
      <c r="C90" s="19" t="n">
        <v>0</v>
      </c>
      <c r="D90" s="19" t="n">
        <v>0</v>
      </c>
      <c r="E90" s="19" t="n">
        <v>0</v>
      </c>
      <c r="F90" s="20" t="n">
        <v>0</v>
      </c>
      <c r="G90" s="20">
        <f>F90</f>
        <v/>
      </c>
      <c r="H90" s="20" t="n">
        <v>0</v>
      </c>
      <c r="I90" s="20" t="n">
        <v>0</v>
      </c>
      <c r="J90" s="20" t="n">
        <v>0</v>
      </c>
      <c r="K90" s="20">
        <f>SUM(H90:J90)</f>
        <v/>
      </c>
      <c r="L90" s="20">
        <f>G90-K90</f>
        <v/>
      </c>
      <c r="M90" s="20" t="n">
        <v>0</v>
      </c>
      <c r="N90" s="20" t="n">
        <v>0</v>
      </c>
      <c r="O90" s="21">
        <f>L90-M90-N90</f>
        <v/>
      </c>
      <c r="P90" s="20">
        <f>O90/((1+0.10)^(A90/12))</f>
        <v/>
      </c>
    </row>
    <row r="91">
      <c r="A91" s="22" t="n">
        <v>90</v>
      </c>
      <c r="B91" s="22" t="inlineStr">
        <is>
          <t>Month 90</t>
        </is>
      </c>
      <c r="C91" s="23" t="n">
        <v>0</v>
      </c>
      <c r="D91" s="23" t="n">
        <v>0</v>
      </c>
      <c r="E91" s="23" t="n">
        <v>0</v>
      </c>
      <c r="F91" s="24" t="n">
        <v>0</v>
      </c>
      <c r="G91" s="24">
        <f>F91</f>
        <v/>
      </c>
      <c r="H91" s="24" t="n">
        <v>0</v>
      </c>
      <c r="I91" s="24" t="n">
        <v>0</v>
      </c>
      <c r="J91" s="24" t="n">
        <v>0</v>
      </c>
      <c r="K91" s="24">
        <f>SUM(H91:J91)</f>
        <v/>
      </c>
      <c r="L91" s="24">
        <f>G91-K91</f>
        <v/>
      </c>
      <c r="M91" s="24" t="n">
        <v>0</v>
      </c>
      <c r="N91" s="24" t="n">
        <v>0</v>
      </c>
      <c r="O91" s="25">
        <f>L91-M91-N91</f>
        <v/>
      </c>
      <c r="P91" s="24">
        <f>O91/((1+0.10)^(A91/12))</f>
        <v/>
      </c>
    </row>
    <row r="92">
      <c r="A92" s="11" t="n">
        <v>91</v>
      </c>
      <c r="B92" s="11" t="inlineStr">
        <is>
          <t>Month 91</t>
        </is>
      </c>
      <c r="C92" s="19" t="n">
        <v>0</v>
      </c>
      <c r="D92" s="19" t="n">
        <v>0</v>
      </c>
      <c r="E92" s="19" t="n">
        <v>0</v>
      </c>
      <c r="F92" s="20" t="n">
        <v>0</v>
      </c>
      <c r="G92" s="20">
        <f>F92</f>
        <v/>
      </c>
      <c r="H92" s="20" t="n">
        <v>0</v>
      </c>
      <c r="I92" s="20" t="n">
        <v>0</v>
      </c>
      <c r="J92" s="20" t="n">
        <v>0</v>
      </c>
      <c r="K92" s="20">
        <f>SUM(H92:J92)</f>
        <v/>
      </c>
      <c r="L92" s="20">
        <f>G92-K92</f>
        <v/>
      </c>
      <c r="M92" s="20" t="n">
        <v>0</v>
      </c>
      <c r="N92" s="20" t="n">
        <v>0</v>
      </c>
      <c r="O92" s="21">
        <f>L92-M92-N92</f>
        <v/>
      </c>
      <c r="P92" s="20">
        <f>O92/((1+0.10)^(A92/12))</f>
        <v/>
      </c>
    </row>
    <row r="93">
      <c r="A93" s="22" t="n">
        <v>92</v>
      </c>
      <c r="B93" s="22" t="inlineStr">
        <is>
          <t>Month 92</t>
        </is>
      </c>
      <c r="C93" s="23" t="n">
        <v>0</v>
      </c>
      <c r="D93" s="23" t="n">
        <v>0</v>
      </c>
      <c r="E93" s="23" t="n">
        <v>0</v>
      </c>
      <c r="F93" s="24" t="n">
        <v>0</v>
      </c>
      <c r="G93" s="24">
        <f>F93</f>
        <v/>
      </c>
      <c r="H93" s="24" t="n">
        <v>0</v>
      </c>
      <c r="I93" s="24" t="n">
        <v>0</v>
      </c>
      <c r="J93" s="24" t="n">
        <v>0</v>
      </c>
      <c r="K93" s="24">
        <f>SUM(H93:J93)</f>
        <v/>
      </c>
      <c r="L93" s="24">
        <f>G93-K93</f>
        <v/>
      </c>
      <c r="M93" s="24" t="n">
        <v>0</v>
      </c>
      <c r="N93" s="24" t="n">
        <v>0</v>
      </c>
      <c r="O93" s="25">
        <f>L93-M93-N93</f>
        <v/>
      </c>
      <c r="P93" s="24">
        <f>O93/((1+0.10)^(A93/12))</f>
        <v/>
      </c>
    </row>
    <row r="94">
      <c r="A94" s="11" t="n">
        <v>93</v>
      </c>
      <c r="B94" s="11" t="inlineStr">
        <is>
          <t>Month 93</t>
        </is>
      </c>
      <c r="C94" s="19" t="n">
        <v>0</v>
      </c>
      <c r="D94" s="19" t="n">
        <v>0</v>
      </c>
      <c r="E94" s="19" t="n">
        <v>0</v>
      </c>
      <c r="F94" s="20" t="n">
        <v>0</v>
      </c>
      <c r="G94" s="20">
        <f>F94</f>
        <v/>
      </c>
      <c r="H94" s="20" t="n">
        <v>0</v>
      </c>
      <c r="I94" s="20" t="n">
        <v>0</v>
      </c>
      <c r="J94" s="20" t="n">
        <v>0</v>
      </c>
      <c r="K94" s="20">
        <f>SUM(H94:J94)</f>
        <v/>
      </c>
      <c r="L94" s="20">
        <f>G94-K94</f>
        <v/>
      </c>
      <c r="M94" s="20" t="n">
        <v>0</v>
      </c>
      <c r="N94" s="20" t="n">
        <v>0</v>
      </c>
      <c r="O94" s="21">
        <f>L94-M94-N94</f>
        <v/>
      </c>
      <c r="P94" s="20">
        <f>O94/((1+0.10)^(A94/12))</f>
        <v/>
      </c>
    </row>
    <row r="95">
      <c r="A95" s="22" t="n">
        <v>94</v>
      </c>
      <c r="B95" s="22" t="inlineStr">
        <is>
          <t>Month 94</t>
        </is>
      </c>
      <c r="C95" s="23" t="n">
        <v>0</v>
      </c>
      <c r="D95" s="23" t="n">
        <v>0</v>
      </c>
      <c r="E95" s="23" t="n">
        <v>0</v>
      </c>
      <c r="F95" s="24" t="n">
        <v>0</v>
      </c>
      <c r="G95" s="24">
        <f>F95</f>
        <v/>
      </c>
      <c r="H95" s="24" t="n">
        <v>0</v>
      </c>
      <c r="I95" s="24" t="n">
        <v>0</v>
      </c>
      <c r="J95" s="24" t="n">
        <v>0</v>
      </c>
      <c r="K95" s="24">
        <f>SUM(H95:J95)</f>
        <v/>
      </c>
      <c r="L95" s="24">
        <f>G95-K95</f>
        <v/>
      </c>
      <c r="M95" s="24" t="n">
        <v>0</v>
      </c>
      <c r="N95" s="24" t="n">
        <v>0</v>
      </c>
      <c r="O95" s="25">
        <f>L95-M95-N95</f>
        <v/>
      </c>
      <c r="P95" s="24">
        <f>O95/((1+0.10)^(A95/12))</f>
        <v/>
      </c>
    </row>
    <row r="96">
      <c r="A96" s="11" t="n">
        <v>95</v>
      </c>
      <c r="B96" s="11" t="inlineStr">
        <is>
          <t>Month 95</t>
        </is>
      </c>
      <c r="C96" s="19" t="n">
        <v>0</v>
      </c>
      <c r="D96" s="19" t="n">
        <v>0</v>
      </c>
      <c r="E96" s="19" t="n">
        <v>0</v>
      </c>
      <c r="F96" s="20" t="n">
        <v>0</v>
      </c>
      <c r="G96" s="20">
        <f>F96</f>
        <v/>
      </c>
      <c r="H96" s="20" t="n">
        <v>0</v>
      </c>
      <c r="I96" s="20" t="n">
        <v>0</v>
      </c>
      <c r="J96" s="20" t="n">
        <v>0</v>
      </c>
      <c r="K96" s="20">
        <f>SUM(H96:J96)</f>
        <v/>
      </c>
      <c r="L96" s="20">
        <f>G96-K96</f>
        <v/>
      </c>
      <c r="M96" s="20" t="n">
        <v>0</v>
      </c>
      <c r="N96" s="20" t="n">
        <v>0</v>
      </c>
      <c r="O96" s="21">
        <f>L96-M96-N96</f>
        <v/>
      </c>
      <c r="P96" s="20">
        <f>O96/((1+0.10)^(A96/12))</f>
        <v/>
      </c>
    </row>
    <row r="97">
      <c r="A97" s="22" t="n">
        <v>96</v>
      </c>
      <c r="B97" s="22" t="inlineStr">
        <is>
          <t>Month 96</t>
        </is>
      </c>
      <c r="C97" s="23" t="n">
        <v>0</v>
      </c>
      <c r="D97" s="23" t="n">
        <v>0</v>
      </c>
      <c r="E97" s="23" t="n">
        <v>0</v>
      </c>
      <c r="F97" s="24" t="n">
        <v>0</v>
      </c>
      <c r="G97" s="24">
        <f>F97</f>
        <v/>
      </c>
      <c r="H97" s="24" t="n">
        <v>0</v>
      </c>
      <c r="I97" s="24" t="n">
        <v>0</v>
      </c>
      <c r="J97" s="24" t="n">
        <v>0</v>
      </c>
      <c r="K97" s="24">
        <f>SUM(H97:J97)</f>
        <v/>
      </c>
      <c r="L97" s="24">
        <f>G97-K97</f>
        <v/>
      </c>
      <c r="M97" s="24" t="n">
        <v>0</v>
      </c>
      <c r="N97" s="24" t="n">
        <v>0</v>
      </c>
      <c r="O97" s="25">
        <f>L97-M97-N97</f>
        <v/>
      </c>
      <c r="P97" s="24">
        <f>O97/((1+0.10)^(A97/12))</f>
        <v/>
      </c>
    </row>
    <row r="98">
      <c r="A98" s="11" t="n">
        <v>97</v>
      </c>
      <c r="B98" s="11" t="inlineStr">
        <is>
          <t>Month 97</t>
        </is>
      </c>
      <c r="C98" s="19" t="n">
        <v>0</v>
      </c>
      <c r="D98" s="19" t="n">
        <v>0</v>
      </c>
      <c r="E98" s="19" t="n">
        <v>0</v>
      </c>
      <c r="F98" s="20" t="n">
        <v>0</v>
      </c>
      <c r="G98" s="20">
        <f>F98</f>
        <v/>
      </c>
      <c r="H98" s="20" t="n">
        <v>0</v>
      </c>
      <c r="I98" s="20" t="n">
        <v>0</v>
      </c>
      <c r="J98" s="20" t="n">
        <v>0</v>
      </c>
      <c r="K98" s="20">
        <f>SUM(H98:J98)</f>
        <v/>
      </c>
      <c r="L98" s="20">
        <f>G98-K98</f>
        <v/>
      </c>
      <c r="M98" s="20" t="n">
        <v>0</v>
      </c>
      <c r="N98" s="20" t="n">
        <v>0</v>
      </c>
      <c r="O98" s="21">
        <f>L98-M98-N98</f>
        <v/>
      </c>
      <c r="P98" s="20">
        <f>O98/((1+0.10)^(A98/12))</f>
        <v/>
      </c>
    </row>
    <row r="99">
      <c r="A99" s="22" t="n">
        <v>98</v>
      </c>
      <c r="B99" s="22" t="inlineStr">
        <is>
          <t>Month 98</t>
        </is>
      </c>
      <c r="C99" s="23" t="n">
        <v>0</v>
      </c>
      <c r="D99" s="23" t="n">
        <v>0</v>
      </c>
      <c r="E99" s="23" t="n">
        <v>0</v>
      </c>
      <c r="F99" s="24" t="n">
        <v>0</v>
      </c>
      <c r="G99" s="24">
        <f>F99</f>
        <v/>
      </c>
      <c r="H99" s="24" t="n">
        <v>0</v>
      </c>
      <c r="I99" s="24" t="n">
        <v>0</v>
      </c>
      <c r="J99" s="24" t="n">
        <v>0</v>
      </c>
      <c r="K99" s="24">
        <f>SUM(H99:J99)</f>
        <v/>
      </c>
      <c r="L99" s="24">
        <f>G99-K99</f>
        <v/>
      </c>
      <c r="M99" s="24" t="n">
        <v>0</v>
      </c>
      <c r="N99" s="24" t="n">
        <v>0</v>
      </c>
      <c r="O99" s="25">
        <f>L99-M99-N99</f>
        <v/>
      </c>
      <c r="P99" s="24">
        <f>O99/((1+0.10)^(A99/12))</f>
        <v/>
      </c>
    </row>
    <row r="100">
      <c r="A100" s="11" t="n">
        <v>99</v>
      </c>
      <c r="B100" s="11" t="inlineStr">
        <is>
          <t>Month 99</t>
        </is>
      </c>
      <c r="C100" s="19" t="n">
        <v>0</v>
      </c>
      <c r="D100" s="19" t="n">
        <v>0</v>
      </c>
      <c r="E100" s="19" t="n">
        <v>0</v>
      </c>
      <c r="F100" s="20" t="n">
        <v>0</v>
      </c>
      <c r="G100" s="20">
        <f>F100</f>
        <v/>
      </c>
      <c r="H100" s="20" t="n">
        <v>0</v>
      </c>
      <c r="I100" s="20" t="n">
        <v>0</v>
      </c>
      <c r="J100" s="20" t="n">
        <v>0</v>
      </c>
      <c r="K100" s="20">
        <f>SUM(H100:J100)</f>
        <v/>
      </c>
      <c r="L100" s="20">
        <f>G100-K100</f>
        <v/>
      </c>
      <c r="M100" s="20" t="n">
        <v>0</v>
      </c>
      <c r="N100" s="20" t="n">
        <v>0</v>
      </c>
      <c r="O100" s="21">
        <f>L100-M100-N100</f>
        <v/>
      </c>
      <c r="P100" s="20">
        <f>O100/((1+0.10)^(A100/12))</f>
        <v/>
      </c>
    </row>
    <row r="101">
      <c r="A101" s="22" t="n">
        <v>100</v>
      </c>
      <c r="B101" s="22" t="inlineStr">
        <is>
          <t>Month 100</t>
        </is>
      </c>
      <c r="C101" s="23" t="n">
        <v>0</v>
      </c>
      <c r="D101" s="23" t="n">
        <v>0</v>
      </c>
      <c r="E101" s="23" t="n">
        <v>0</v>
      </c>
      <c r="F101" s="24" t="n">
        <v>0</v>
      </c>
      <c r="G101" s="24">
        <f>F101</f>
        <v/>
      </c>
      <c r="H101" s="24" t="n">
        <v>0</v>
      </c>
      <c r="I101" s="24" t="n">
        <v>0</v>
      </c>
      <c r="J101" s="24" t="n">
        <v>0</v>
      </c>
      <c r="K101" s="24">
        <f>SUM(H101:J101)</f>
        <v/>
      </c>
      <c r="L101" s="24">
        <f>G101-K101</f>
        <v/>
      </c>
      <c r="M101" s="24" t="n">
        <v>0</v>
      </c>
      <c r="N101" s="24" t="n">
        <v>0</v>
      </c>
      <c r="O101" s="25">
        <f>L101-M101-N101</f>
        <v/>
      </c>
      <c r="P101" s="24">
        <f>O101/((1+0.10)^(A101/12))</f>
        <v/>
      </c>
    </row>
    <row r="102">
      <c r="A102" s="11" t="n">
        <v>101</v>
      </c>
      <c r="B102" s="11" t="inlineStr">
        <is>
          <t>Month 101</t>
        </is>
      </c>
      <c r="C102" s="19" t="n">
        <v>0</v>
      </c>
      <c r="D102" s="19" t="n">
        <v>0</v>
      </c>
      <c r="E102" s="19" t="n">
        <v>0</v>
      </c>
      <c r="F102" s="20" t="n">
        <v>0</v>
      </c>
      <c r="G102" s="20">
        <f>F102</f>
        <v/>
      </c>
      <c r="H102" s="20" t="n">
        <v>0</v>
      </c>
      <c r="I102" s="20" t="n">
        <v>0</v>
      </c>
      <c r="J102" s="20" t="n">
        <v>0</v>
      </c>
      <c r="K102" s="20">
        <f>SUM(H102:J102)</f>
        <v/>
      </c>
      <c r="L102" s="20">
        <f>G102-K102</f>
        <v/>
      </c>
      <c r="M102" s="20" t="n">
        <v>0</v>
      </c>
      <c r="N102" s="20" t="n">
        <v>0</v>
      </c>
      <c r="O102" s="21">
        <f>L102-M102-N102</f>
        <v/>
      </c>
      <c r="P102" s="20">
        <f>O102/((1+0.10)^(A102/12))</f>
        <v/>
      </c>
    </row>
    <row r="103">
      <c r="A103" s="22" t="n">
        <v>102</v>
      </c>
      <c r="B103" s="22" t="inlineStr">
        <is>
          <t>Month 102</t>
        </is>
      </c>
      <c r="C103" s="23" t="n">
        <v>0</v>
      </c>
      <c r="D103" s="23" t="n">
        <v>0</v>
      </c>
      <c r="E103" s="23" t="n">
        <v>0</v>
      </c>
      <c r="F103" s="24" t="n">
        <v>0</v>
      </c>
      <c r="G103" s="24">
        <f>F103</f>
        <v/>
      </c>
      <c r="H103" s="24" t="n">
        <v>0</v>
      </c>
      <c r="I103" s="24" t="n">
        <v>0</v>
      </c>
      <c r="J103" s="24" t="n">
        <v>0</v>
      </c>
      <c r="K103" s="24">
        <f>SUM(H103:J103)</f>
        <v/>
      </c>
      <c r="L103" s="24">
        <f>G103-K103</f>
        <v/>
      </c>
      <c r="M103" s="24" t="n">
        <v>0</v>
      </c>
      <c r="N103" s="24" t="n">
        <v>0</v>
      </c>
      <c r="O103" s="25">
        <f>L103-M103-N103</f>
        <v/>
      </c>
      <c r="P103" s="24">
        <f>O103/((1+0.10)^(A103/12))</f>
        <v/>
      </c>
    </row>
    <row r="104">
      <c r="A104" s="11" t="n">
        <v>103</v>
      </c>
      <c r="B104" s="11" t="inlineStr">
        <is>
          <t>Month 103</t>
        </is>
      </c>
      <c r="C104" s="19" t="n">
        <v>0</v>
      </c>
      <c r="D104" s="19" t="n">
        <v>0</v>
      </c>
      <c r="E104" s="19" t="n">
        <v>0</v>
      </c>
      <c r="F104" s="20" t="n">
        <v>0</v>
      </c>
      <c r="G104" s="20">
        <f>F104</f>
        <v/>
      </c>
      <c r="H104" s="20" t="n">
        <v>0</v>
      </c>
      <c r="I104" s="20" t="n">
        <v>0</v>
      </c>
      <c r="J104" s="20" t="n">
        <v>0</v>
      </c>
      <c r="K104" s="20">
        <f>SUM(H104:J104)</f>
        <v/>
      </c>
      <c r="L104" s="20">
        <f>G104-K104</f>
        <v/>
      </c>
      <c r="M104" s="20" t="n">
        <v>0</v>
      </c>
      <c r="N104" s="20" t="n">
        <v>0</v>
      </c>
      <c r="O104" s="21">
        <f>L104-M104-N104</f>
        <v/>
      </c>
      <c r="P104" s="20">
        <f>O104/((1+0.10)^(A104/12))</f>
        <v/>
      </c>
    </row>
    <row r="105">
      <c r="A105" s="22" t="n">
        <v>104</v>
      </c>
      <c r="B105" s="22" t="inlineStr">
        <is>
          <t>Month 104</t>
        </is>
      </c>
      <c r="C105" s="23" t="n">
        <v>0</v>
      </c>
      <c r="D105" s="23" t="n">
        <v>0</v>
      </c>
      <c r="E105" s="23" t="n">
        <v>0</v>
      </c>
      <c r="F105" s="24" t="n">
        <v>0</v>
      </c>
      <c r="G105" s="24">
        <f>F105</f>
        <v/>
      </c>
      <c r="H105" s="24" t="n">
        <v>0</v>
      </c>
      <c r="I105" s="24" t="n">
        <v>0</v>
      </c>
      <c r="J105" s="24" t="n">
        <v>0</v>
      </c>
      <c r="K105" s="24">
        <f>SUM(H105:J105)</f>
        <v/>
      </c>
      <c r="L105" s="24">
        <f>G105-K105</f>
        <v/>
      </c>
      <c r="M105" s="24" t="n">
        <v>0</v>
      </c>
      <c r="N105" s="24" t="n">
        <v>0</v>
      </c>
      <c r="O105" s="25">
        <f>L105-M105-N105</f>
        <v/>
      </c>
      <c r="P105" s="24">
        <f>O105/((1+0.10)^(A105/12))</f>
        <v/>
      </c>
    </row>
    <row r="106">
      <c r="A106" s="11" t="n">
        <v>105</v>
      </c>
      <c r="B106" s="11" t="inlineStr">
        <is>
          <t>Month 105</t>
        </is>
      </c>
      <c r="C106" s="19" t="n">
        <v>0</v>
      </c>
      <c r="D106" s="19" t="n">
        <v>0</v>
      </c>
      <c r="E106" s="19" t="n">
        <v>0</v>
      </c>
      <c r="F106" s="20" t="n">
        <v>0</v>
      </c>
      <c r="G106" s="20">
        <f>F106</f>
        <v/>
      </c>
      <c r="H106" s="20" t="n">
        <v>0</v>
      </c>
      <c r="I106" s="20" t="n">
        <v>0</v>
      </c>
      <c r="J106" s="20" t="n">
        <v>0</v>
      </c>
      <c r="K106" s="20">
        <f>SUM(H106:J106)</f>
        <v/>
      </c>
      <c r="L106" s="20">
        <f>G106-K106</f>
        <v/>
      </c>
      <c r="M106" s="20" t="n">
        <v>0</v>
      </c>
      <c r="N106" s="20" t="n">
        <v>0</v>
      </c>
      <c r="O106" s="21">
        <f>L106-M106-N106</f>
        <v/>
      </c>
      <c r="P106" s="20">
        <f>O106/((1+0.10)^(A106/12))</f>
        <v/>
      </c>
    </row>
    <row r="107">
      <c r="A107" s="22" t="n">
        <v>106</v>
      </c>
      <c r="B107" s="22" t="inlineStr">
        <is>
          <t>Month 106</t>
        </is>
      </c>
      <c r="C107" s="23" t="n">
        <v>0</v>
      </c>
      <c r="D107" s="23" t="n">
        <v>0</v>
      </c>
      <c r="E107" s="23" t="n">
        <v>0</v>
      </c>
      <c r="F107" s="24" t="n">
        <v>0</v>
      </c>
      <c r="G107" s="24">
        <f>F107</f>
        <v/>
      </c>
      <c r="H107" s="24" t="n">
        <v>0</v>
      </c>
      <c r="I107" s="24" t="n">
        <v>0</v>
      </c>
      <c r="J107" s="24" t="n">
        <v>0</v>
      </c>
      <c r="K107" s="24">
        <f>SUM(H107:J107)</f>
        <v/>
      </c>
      <c r="L107" s="24">
        <f>G107-K107</f>
        <v/>
      </c>
      <c r="M107" s="24" t="n">
        <v>0</v>
      </c>
      <c r="N107" s="24" t="n">
        <v>0</v>
      </c>
      <c r="O107" s="25">
        <f>L107-M107-N107</f>
        <v/>
      </c>
      <c r="P107" s="24">
        <f>O107/((1+0.10)^(A107/12))</f>
        <v/>
      </c>
    </row>
    <row r="108">
      <c r="A108" s="11" t="n">
        <v>107</v>
      </c>
      <c r="B108" s="11" t="inlineStr">
        <is>
          <t>Month 107</t>
        </is>
      </c>
      <c r="C108" s="19" t="n">
        <v>0</v>
      </c>
      <c r="D108" s="19" t="n">
        <v>0</v>
      </c>
      <c r="E108" s="19" t="n">
        <v>0</v>
      </c>
      <c r="F108" s="20" t="n">
        <v>0</v>
      </c>
      <c r="G108" s="20">
        <f>F108</f>
        <v/>
      </c>
      <c r="H108" s="20" t="n">
        <v>0</v>
      </c>
      <c r="I108" s="20" t="n">
        <v>0</v>
      </c>
      <c r="J108" s="20" t="n">
        <v>0</v>
      </c>
      <c r="K108" s="20">
        <f>SUM(H108:J108)</f>
        <v/>
      </c>
      <c r="L108" s="20">
        <f>G108-K108</f>
        <v/>
      </c>
      <c r="M108" s="20" t="n">
        <v>0</v>
      </c>
      <c r="N108" s="20" t="n">
        <v>0</v>
      </c>
      <c r="O108" s="21">
        <f>L108-M108-N108</f>
        <v/>
      </c>
      <c r="P108" s="20">
        <f>O108/((1+0.10)^(A108/12))</f>
        <v/>
      </c>
    </row>
    <row r="109">
      <c r="A109" s="22" t="n">
        <v>108</v>
      </c>
      <c r="B109" s="22" t="inlineStr">
        <is>
          <t>Month 108</t>
        </is>
      </c>
      <c r="C109" s="23" t="n">
        <v>0</v>
      </c>
      <c r="D109" s="23" t="n">
        <v>0</v>
      </c>
      <c r="E109" s="23" t="n">
        <v>0</v>
      </c>
      <c r="F109" s="24" t="n">
        <v>0</v>
      </c>
      <c r="G109" s="24">
        <f>F109</f>
        <v/>
      </c>
      <c r="H109" s="24" t="n">
        <v>0</v>
      </c>
      <c r="I109" s="24" t="n">
        <v>0</v>
      </c>
      <c r="J109" s="24" t="n">
        <v>0</v>
      </c>
      <c r="K109" s="24">
        <f>SUM(H109:J109)</f>
        <v/>
      </c>
      <c r="L109" s="24">
        <f>G109-K109</f>
        <v/>
      </c>
      <c r="M109" s="24" t="n">
        <v>0</v>
      </c>
      <c r="N109" s="24" t="n">
        <v>0</v>
      </c>
      <c r="O109" s="25">
        <f>L109-M109-N109</f>
        <v/>
      </c>
      <c r="P109" s="24">
        <f>O109/((1+0.10)^(A109/12))</f>
        <v/>
      </c>
    </row>
    <row r="110">
      <c r="A110" s="11" t="n">
        <v>109</v>
      </c>
      <c r="B110" s="11" t="inlineStr">
        <is>
          <t>Month 109</t>
        </is>
      </c>
      <c r="C110" s="19" t="n">
        <v>0</v>
      </c>
      <c r="D110" s="19" t="n">
        <v>0</v>
      </c>
      <c r="E110" s="19" t="n">
        <v>0</v>
      </c>
      <c r="F110" s="20" t="n">
        <v>0</v>
      </c>
      <c r="G110" s="20">
        <f>F110</f>
        <v/>
      </c>
      <c r="H110" s="20" t="n">
        <v>0</v>
      </c>
      <c r="I110" s="20" t="n">
        <v>0</v>
      </c>
      <c r="J110" s="20" t="n">
        <v>0</v>
      </c>
      <c r="K110" s="20">
        <f>SUM(H110:J110)</f>
        <v/>
      </c>
      <c r="L110" s="20">
        <f>G110-K110</f>
        <v/>
      </c>
      <c r="M110" s="20" t="n">
        <v>0</v>
      </c>
      <c r="N110" s="20" t="n">
        <v>0</v>
      </c>
      <c r="O110" s="21">
        <f>L110-M110-N110</f>
        <v/>
      </c>
      <c r="P110" s="20">
        <f>O110/((1+0.10)^(A110/12))</f>
        <v/>
      </c>
    </row>
    <row r="111">
      <c r="A111" s="22" t="n">
        <v>110</v>
      </c>
      <c r="B111" s="22" t="inlineStr">
        <is>
          <t>Month 110</t>
        </is>
      </c>
      <c r="C111" s="23" t="n">
        <v>0</v>
      </c>
      <c r="D111" s="23" t="n">
        <v>0</v>
      </c>
      <c r="E111" s="23" t="n">
        <v>0</v>
      </c>
      <c r="F111" s="24" t="n">
        <v>0</v>
      </c>
      <c r="G111" s="24">
        <f>F111</f>
        <v/>
      </c>
      <c r="H111" s="24" t="n">
        <v>0</v>
      </c>
      <c r="I111" s="24" t="n">
        <v>0</v>
      </c>
      <c r="J111" s="24" t="n">
        <v>0</v>
      </c>
      <c r="K111" s="24">
        <f>SUM(H111:J111)</f>
        <v/>
      </c>
      <c r="L111" s="24">
        <f>G111-K111</f>
        <v/>
      </c>
      <c r="M111" s="24" t="n">
        <v>0</v>
      </c>
      <c r="N111" s="24" t="n">
        <v>0</v>
      </c>
      <c r="O111" s="25">
        <f>L111-M111-N111</f>
        <v/>
      </c>
      <c r="P111" s="24">
        <f>O111/((1+0.10)^(A111/12))</f>
        <v/>
      </c>
    </row>
    <row r="112">
      <c r="A112" s="11" t="n">
        <v>111</v>
      </c>
      <c r="B112" s="11" t="inlineStr">
        <is>
          <t>Month 111</t>
        </is>
      </c>
      <c r="C112" s="19" t="n">
        <v>0</v>
      </c>
      <c r="D112" s="19" t="n">
        <v>0</v>
      </c>
      <c r="E112" s="19" t="n">
        <v>0</v>
      </c>
      <c r="F112" s="20" t="n">
        <v>0</v>
      </c>
      <c r="G112" s="20">
        <f>F112</f>
        <v/>
      </c>
      <c r="H112" s="20" t="n">
        <v>0</v>
      </c>
      <c r="I112" s="20" t="n">
        <v>0</v>
      </c>
      <c r="J112" s="20" t="n">
        <v>0</v>
      </c>
      <c r="K112" s="20">
        <f>SUM(H112:J112)</f>
        <v/>
      </c>
      <c r="L112" s="20">
        <f>G112-K112</f>
        <v/>
      </c>
      <c r="M112" s="20" t="n">
        <v>0</v>
      </c>
      <c r="N112" s="20" t="n">
        <v>0</v>
      </c>
      <c r="O112" s="21">
        <f>L112-M112-N112</f>
        <v/>
      </c>
      <c r="P112" s="20">
        <f>O112/((1+0.10)^(A112/12))</f>
        <v/>
      </c>
    </row>
    <row r="113">
      <c r="A113" s="22" t="n">
        <v>112</v>
      </c>
      <c r="B113" s="22" t="inlineStr">
        <is>
          <t>Month 112</t>
        </is>
      </c>
      <c r="C113" s="23" t="n">
        <v>0</v>
      </c>
      <c r="D113" s="23" t="n">
        <v>0</v>
      </c>
      <c r="E113" s="23" t="n">
        <v>0</v>
      </c>
      <c r="F113" s="24" t="n">
        <v>0</v>
      </c>
      <c r="G113" s="24">
        <f>F113</f>
        <v/>
      </c>
      <c r="H113" s="24" t="n">
        <v>0</v>
      </c>
      <c r="I113" s="24" t="n">
        <v>0</v>
      </c>
      <c r="J113" s="24" t="n">
        <v>0</v>
      </c>
      <c r="K113" s="24">
        <f>SUM(H113:J113)</f>
        <v/>
      </c>
      <c r="L113" s="24">
        <f>G113-K113</f>
        <v/>
      </c>
      <c r="M113" s="24" t="n">
        <v>0</v>
      </c>
      <c r="N113" s="24" t="n">
        <v>0</v>
      </c>
      <c r="O113" s="25">
        <f>L113-M113-N113</f>
        <v/>
      </c>
      <c r="P113" s="24">
        <f>O113/((1+0.10)^(A113/12))</f>
        <v/>
      </c>
    </row>
    <row r="114">
      <c r="A114" s="11" t="n">
        <v>113</v>
      </c>
      <c r="B114" s="11" t="inlineStr">
        <is>
          <t>Month 113</t>
        </is>
      </c>
      <c r="C114" s="19" t="n">
        <v>0</v>
      </c>
      <c r="D114" s="19" t="n">
        <v>0</v>
      </c>
      <c r="E114" s="19" t="n">
        <v>0</v>
      </c>
      <c r="F114" s="20" t="n">
        <v>0</v>
      </c>
      <c r="G114" s="20">
        <f>F114</f>
        <v/>
      </c>
      <c r="H114" s="20" t="n">
        <v>0</v>
      </c>
      <c r="I114" s="20" t="n">
        <v>0</v>
      </c>
      <c r="J114" s="20" t="n">
        <v>0</v>
      </c>
      <c r="K114" s="20">
        <f>SUM(H114:J114)</f>
        <v/>
      </c>
      <c r="L114" s="20">
        <f>G114-K114</f>
        <v/>
      </c>
      <c r="M114" s="20" t="n">
        <v>0</v>
      </c>
      <c r="N114" s="20" t="n">
        <v>0</v>
      </c>
      <c r="O114" s="21">
        <f>L114-M114-N114</f>
        <v/>
      </c>
      <c r="P114" s="20">
        <f>O114/((1+0.10)^(A114/12))</f>
        <v/>
      </c>
    </row>
    <row r="115">
      <c r="A115" s="22" t="n">
        <v>114</v>
      </c>
      <c r="B115" s="22" t="inlineStr">
        <is>
          <t>Month 114</t>
        </is>
      </c>
      <c r="C115" s="23" t="n">
        <v>0</v>
      </c>
      <c r="D115" s="23" t="n">
        <v>0</v>
      </c>
      <c r="E115" s="23" t="n">
        <v>0</v>
      </c>
      <c r="F115" s="24" t="n">
        <v>0</v>
      </c>
      <c r="G115" s="24">
        <f>F115</f>
        <v/>
      </c>
      <c r="H115" s="24" t="n">
        <v>0</v>
      </c>
      <c r="I115" s="24" t="n">
        <v>0</v>
      </c>
      <c r="J115" s="24" t="n">
        <v>0</v>
      </c>
      <c r="K115" s="24">
        <f>SUM(H115:J115)</f>
        <v/>
      </c>
      <c r="L115" s="24">
        <f>G115-K115</f>
        <v/>
      </c>
      <c r="M115" s="24" t="n">
        <v>0</v>
      </c>
      <c r="N115" s="24" t="n">
        <v>0</v>
      </c>
      <c r="O115" s="25">
        <f>L115-M115-N115</f>
        <v/>
      </c>
      <c r="P115" s="24">
        <f>O115/((1+0.10)^(A115/12))</f>
        <v/>
      </c>
    </row>
    <row r="116">
      <c r="A116" s="11" t="n">
        <v>115</v>
      </c>
      <c r="B116" s="11" t="inlineStr">
        <is>
          <t>Month 115</t>
        </is>
      </c>
      <c r="C116" s="19" t="n">
        <v>0</v>
      </c>
      <c r="D116" s="19" t="n">
        <v>0</v>
      </c>
      <c r="E116" s="19" t="n">
        <v>0</v>
      </c>
      <c r="F116" s="20" t="n">
        <v>0</v>
      </c>
      <c r="G116" s="20">
        <f>F116</f>
        <v/>
      </c>
      <c r="H116" s="20" t="n">
        <v>0</v>
      </c>
      <c r="I116" s="20" t="n">
        <v>0</v>
      </c>
      <c r="J116" s="20" t="n">
        <v>0</v>
      </c>
      <c r="K116" s="20">
        <f>SUM(H116:J116)</f>
        <v/>
      </c>
      <c r="L116" s="20">
        <f>G116-K116</f>
        <v/>
      </c>
      <c r="M116" s="20" t="n">
        <v>0</v>
      </c>
      <c r="N116" s="20" t="n">
        <v>0</v>
      </c>
      <c r="O116" s="21">
        <f>L116-M116-N116</f>
        <v/>
      </c>
      <c r="P116" s="20">
        <f>O116/((1+0.10)^(A116/12))</f>
        <v/>
      </c>
    </row>
    <row r="117">
      <c r="A117" s="22" t="n">
        <v>116</v>
      </c>
      <c r="B117" s="22" t="inlineStr">
        <is>
          <t>Month 116</t>
        </is>
      </c>
      <c r="C117" s="23" t="n">
        <v>0</v>
      </c>
      <c r="D117" s="23" t="n">
        <v>0</v>
      </c>
      <c r="E117" s="23" t="n">
        <v>0</v>
      </c>
      <c r="F117" s="24" t="n">
        <v>0</v>
      </c>
      <c r="G117" s="24">
        <f>F117</f>
        <v/>
      </c>
      <c r="H117" s="24" t="n">
        <v>0</v>
      </c>
      <c r="I117" s="24" t="n">
        <v>0</v>
      </c>
      <c r="J117" s="24" t="n">
        <v>0</v>
      </c>
      <c r="K117" s="24">
        <f>SUM(H117:J117)</f>
        <v/>
      </c>
      <c r="L117" s="24">
        <f>G117-K117</f>
        <v/>
      </c>
      <c r="M117" s="24" t="n">
        <v>0</v>
      </c>
      <c r="N117" s="24" t="n">
        <v>0</v>
      </c>
      <c r="O117" s="25">
        <f>L117-M117-N117</f>
        <v/>
      </c>
      <c r="P117" s="24">
        <f>O117/((1+0.10)^(A117/12))</f>
        <v/>
      </c>
    </row>
    <row r="118">
      <c r="A118" s="11" t="n">
        <v>117</v>
      </c>
      <c r="B118" s="11" t="inlineStr">
        <is>
          <t>Month 117</t>
        </is>
      </c>
      <c r="C118" s="19" t="n">
        <v>0</v>
      </c>
      <c r="D118" s="19" t="n">
        <v>0</v>
      </c>
      <c r="E118" s="19" t="n">
        <v>0</v>
      </c>
      <c r="F118" s="20" t="n">
        <v>0</v>
      </c>
      <c r="G118" s="20">
        <f>F118</f>
        <v/>
      </c>
      <c r="H118" s="20" t="n">
        <v>0</v>
      </c>
      <c r="I118" s="20" t="n">
        <v>0</v>
      </c>
      <c r="J118" s="20" t="n">
        <v>0</v>
      </c>
      <c r="K118" s="20">
        <f>SUM(H118:J118)</f>
        <v/>
      </c>
      <c r="L118" s="20">
        <f>G118-K118</f>
        <v/>
      </c>
      <c r="M118" s="20" t="n">
        <v>0</v>
      </c>
      <c r="N118" s="20" t="n">
        <v>0</v>
      </c>
      <c r="O118" s="21">
        <f>L118-M118-N118</f>
        <v/>
      </c>
      <c r="P118" s="20">
        <f>O118/((1+0.10)^(A118/12))</f>
        <v/>
      </c>
    </row>
    <row r="119">
      <c r="A119" s="22" t="n">
        <v>118</v>
      </c>
      <c r="B119" s="22" t="inlineStr">
        <is>
          <t>Month 118</t>
        </is>
      </c>
      <c r="C119" s="23" t="n">
        <v>0</v>
      </c>
      <c r="D119" s="23" t="n">
        <v>0</v>
      </c>
      <c r="E119" s="23" t="n">
        <v>0</v>
      </c>
      <c r="F119" s="24" t="n">
        <v>0</v>
      </c>
      <c r="G119" s="24">
        <f>F119</f>
        <v/>
      </c>
      <c r="H119" s="24" t="n">
        <v>0</v>
      </c>
      <c r="I119" s="24" t="n">
        <v>0</v>
      </c>
      <c r="J119" s="24" t="n">
        <v>0</v>
      </c>
      <c r="K119" s="24">
        <f>SUM(H119:J119)</f>
        <v/>
      </c>
      <c r="L119" s="24">
        <f>G119-K119</f>
        <v/>
      </c>
      <c r="M119" s="24" t="n">
        <v>0</v>
      </c>
      <c r="N119" s="24" t="n">
        <v>0</v>
      </c>
      <c r="O119" s="25">
        <f>L119-M119-N119</f>
        <v/>
      </c>
      <c r="P119" s="24">
        <f>O119/((1+0.10)^(A119/12))</f>
        <v/>
      </c>
    </row>
    <row r="120">
      <c r="A120" s="11" t="n">
        <v>119</v>
      </c>
      <c r="B120" s="11" t="inlineStr">
        <is>
          <t>Month 119</t>
        </is>
      </c>
      <c r="C120" s="19" t="n">
        <v>0</v>
      </c>
      <c r="D120" s="19" t="n">
        <v>0</v>
      </c>
      <c r="E120" s="19" t="n">
        <v>0</v>
      </c>
      <c r="F120" s="20" t="n">
        <v>0</v>
      </c>
      <c r="G120" s="20">
        <f>F120</f>
        <v/>
      </c>
      <c r="H120" s="20" t="n">
        <v>0</v>
      </c>
      <c r="I120" s="20" t="n">
        <v>0</v>
      </c>
      <c r="J120" s="20" t="n">
        <v>0</v>
      </c>
      <c r="K120" s="20">
        <f>SUM(H120:J120)</f>
        <v/>
      </c>
      <c r="L120" s="20">
        <f>G120-K120</f>
        <v/>
      </c>
      <c r="M120" s="20" t="n">
        <v>0</v>
      </c>
      <c r="N120" s="20" t="n">
        <v>0</v>
      </c>
      <c r="O120" s="21">
        <f>L120-M120-N120</f>
        <v/>
      </c>
      <c r="P120" s="20">
        <f>O120/((1+0.10)^(A120/12))</f>
        <v/>
      </c>
    </row>
    <row r="121">
      <c r="A121" s="22" t="n">
        <v>120</v>
      </c>
      <c r="B121" s="22" t="inlineStr">
        <is>
          <t>Month 120</t>
        </is>
      </c>
      <c r="C121" s="23" t="n">
        <v>0</v>
      </c>
      <c r="D121" s="23" t="n">
        <v>0</v>
      </c>
      <c r="E121" s="23" t="n">
        <v>0</v>
      </c>
      <c r="F121" s="24" t="n">
        <v>0</v>
      </c>
      <c r="G121" s="24">
        <f>F121</f>
        <v/>
      </c>
      <c r="H121" s="24" t="n">
        <v>0</v>
      </c>
      <c r="I121" s="24" t="n">
        <v>0</v>
      </c>
      <c r="J121" s="24" t="n">
        <v>0</v>
      </c>
      <c r="K121" s="24">
        <f>SUM(H121:J121)</f>
        <v/>
      </c>
      <c r="L121" s="24">
        <f>G121-K121</f>
        <v/>
      </c>
      <c r="M121" s="24" t="n">
        <v>0</v>
      </c>
      <c r="N121" s="24" t="n">
        <v>0</v>
      </c>
      <c r="O121" s="25">
        <f>L121-M121-N121</f>
        <v/>
      </c>
      <c r="P121" s="24">
        <f>O121/((1+0.10)^(A121/12))</f>
        <v/>
      </c>
    </row>
    <row r="122">
      <c r="A122" s="26" t="inlineStr">
        <is>
          <t>TOTAL</t>
        </is>
      </c>
      <c r="B122" s="27" t="n"/>
      <c r="C122" s="28">
        <f>SUM(C2:C121)</f>
        <v/>
      </c>
      <c r="D122" s="28">
        <f>SUM(D2:D121)</f>
        <v/>
      </c>
      <c r="E122" s="28">
        <f>SUM(E2:E121)</f>
        <v/>
      </c>
      <c r="F122" s="29">
        <f>SUM(F2:F121)</f>
        <v/>
      </c>
      <c r="G122" s="29">
        <f>SUM(G2:G121)</f>
        <v/>
      </c>
      <c r="H122" s="29">
        <f>SUM(H2:H121)</f>
        <v/>
      </c>
      <c r="I122" s="29">
        <f>SUM(I2:I121)</f>
        <v/>
      </c>
      <c r="J122" s="29">
        <f>SUM(J2:J121)</f>
        <v/>
      </c>
      <c r="K122" s="29">
        <f>SUM(K2:K121)</f>
        <v/>
      </c>
      <c r="L122" s="29">
        <f>SUM(L2:L121)</f>
        <v/>
      </c>
      <c r="M122" s="29">
        <f>SUM(M2:M121)</f>
        <v/>
      </c>
      <c r="N122" s="29">
        <f>SUM(N2:N121)</f>
        <v/>
      </c>
      <c r="O122" s="29">
        <f>SUM(O2:O121)</f>
        <v/>
      </c>
      <c r="P122" s="29">
        <f>SUM(P2:P121)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2026-09-14T14:40:07Z</dcterms:created>
  <dcterms:modified xsi:type="dcterms:W3CDTF">2026-09-14T14:40:07Z</dcterms:modified>
</cp:coreProperties>
</file>